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filterPrivacy="1"/>
  <xr:revisionPtr revIDLastSave="0" documentId="13_ncr:1_{546B0623-292F-A145-A11A-65928409F93E}" xr6:coauthVersionLast="36" xr6:coauthVersionMax="36" xr10:uidLastSave="{00000000-0000-0000-0000-000000000000}"/>
  <bookViews>
    <workbookView xWindow="36240" yWindow="800" windowWidth="30960" windowHeight="1840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2" i="1" l="1"/>
  <c r="N42" i="1"/>
  <c r="L9" i="1"/>
  <c r="N9" i="1"/>
  <c r="N39" i="1"/>
  <c r="N38" i="1"/>
  <c r="N37" i="1"/>
  <c r="N36" i="1"/>
  <c r="N26" i="1"/>
  <c r="N27" i="1"/>
  <c r="N28" i="1"/>
  <c r="N29" i="1"/>
  <c r="N30" i="1"/>
  <c r="N31" i="1"/>
  <c r="L26" i="1"/>
  <c r="L27" i="1"/>
  <c r="L28" i="1"/>
  <c r="L29" i="1"/>
  <c r="L30" i="1"/>
  <c r="N14" i="1"/>
  <c r="N15" i="1"/>
  <c r="N16" i="1"/>
  <c r="N17" i="1"/>
  <c r="N18" i="1"/>
  <c r="N19" i="1"/>
  <c r="N20" i="1"/>
  <c r="N13" i="1"/>
  <c r="L14" i="1"/>
  <c r="O14" i="1" s="1"/>
  <c r="L15" i="1"/>
  <c r="L16" i="1"/>
  <c r="L17" i="1"/>
  <c r="L18" i="1"/>
  <c r="L19" i="1"/>
  <c r="O19" i="1" s="1"/>
  <c r="L20" i="1"/>
  <c r="L21" i="1"/>
  <c r="N5" i="1"/>
  <c r="N6" i="1"/>
  <c r="N7" i="1"/>
  <c r="N8" i="1"/>
  <c r="L5" i="1"/>
  <c r="L6" i="1"/>
  <c r="L7" i="1"/>
  <c r="L8" i="1"/>
  <c r="O16" i="1" l="1"/>
  <c r="O15" i="1"/>
  <c r="O17" i="1"/>
  <c r="O42" i="1"/>
  <c r="O20" i="1"/>
  <c r="O9" i="1"/>
  <c r="O7" i="1"/>
  <c r="O18" i="1"/>
  <c r="O8" i="1"/>
  <c r="O5" i="1"/>
  <c r="O6" i="1"/>
  <c r="O27" i="1"/>
  <c r="O28" i="1"/>
  <c r="O30" i="1"/>
  <c r="O26" i="1"/>
  <c r="O29" i="1"/>
  <c r="N24" i="1" l="1"/>
  <c r="N41" i="1"/>
  <c r="L35" i="1"/>
  <c r="L36" i="1"/>
  <c r="L10" i="1"/>
  <c r="O10" i="1" s="1"/>
  <c r="L11" i="1"/>
  <c r="O11" i="1" s="1"/>
  <c r="L12" i="1"/>
  <c r="O12" i="1" s="1"/>
  <c r="L24" i="1"/>
  <c r="O24" i="1" l="1"/>
  <c r="O36" i="1"/>
  <c r="N2" i="1"/>
  <c r="N40" i="1" l="1"/>
  <c r="N35" i="1"/>
  <c r="N25" i="1"/>
  <c r="N3" i="1"/>
  <c r="N4" i="1"/>
  <c r="L2" i="1"/>
  <c r="O2" i="1" s="1"/>
  <c r="L3" i="1"/>
  <c r="L4" i="1"/>
  <c r="L13" i="1"/>
  <c r="O21" i="1"/>
  <c r="L22" i="1"/>
  <c r="O22" i="1" s="1"/>
  <c r="L23" i="1"/>
  <c r="O23" i="1" s="1"/>
  <c r="L25" i="1"/>
  <c r="L31" i="1"/>
  <c r="O31" i="1" s="1"/>
  <c r="L32" i="1"/>
  <c r="O32" i="1" s="1"/>
  <c r="L33" i="1"/>
  <c r="O33" i="1" s="1"/>
  <c r="L34" i="1"/>
  <c r="O34" i="1" s="1"/>
  <c r="L37" i="1"/>
  <c r="L38" i="1"/>
  <c r="L39" i="1"/>
  <c r="L40" i="1"/>
  <c r="L41" i="1"/>
  <c r="L43" i="1"/>
  <c r="O43" i="1" s="1"/>
  <c r="L44" i="1"/>
  <c r="O44" i="1" s="1"/>
  <c r="L45" i="1"/>
  <c r="O45" i="1" s="1"/>
  <c r="O25" i="1" l="1"/>
  <c r="O4" i="1"/>
  <c r="O13" i="1"/>
  <c r="O38" i="1"/>
  <c r="O39" i="1"/>
  <c r="O35" i="1"/>
  <c r="O37" i="1"/>
  <c r="O40" i="1"/>
  <c r="O41" i="1"/>
  <c r="O3" i="1"/>
</calcChain>
</file>

<file path=xl/sharedStrings.xml><?xml version="1.0" encoding="utf-8"?>
<sst xmlns="http://schemas.openxmlformats.org/spreadsheetml/2006/main" count="223" uniqueCount="98">
  <si>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</si>
  <si>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</si>
  <si>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</si>
  <si>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</si>
  <si>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</si>
  <si>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</si>
  <si>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</si>
  <si>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</si>
  <si>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</si>
  <si>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</si>
  <si>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</si>
  <si>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</si>
  <si>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</si>
  <si>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1mM</t>
  </si>
  <si>
    <t>background</t>
  </si>
  <si>
    <t>pNRT2.1:LUC</t>
  </si>
  <si>
    <t>PLATE</t>
  </si>
  <si>
    <t>number</t>
  </si>
  <si>
    <t>seedling65</t>
  </si>
  <si>
    <t>seedling66</t>
  </si>
  <si>
    <t>seedling67</t>
  </si>
  <si>
    <t>seedling68</t>
  </si>
  <si>
    <t>seedling69</t>
  </si>
  <si>
    <t>seedling70</t>
  </si>
  <si>
    <t>seedling77</t>
  </si>
  <si>
    <t>seedling78</t>
  </si>
  <si>
    <t>seedling79</t>
  </si>
  <si>
    <t>seedling80</t>
  </si>
  <si>
    <t>seedling83</t>
  </si>
  <si>
    <t>seedling84</t>
  </si>
  <si>
    <t>seedling85</t>
  </si>
  <si>
    <t>seedling86</t>
  </si>
  <si>
    <t>seedling87</t>
  </si>
  <si>
    <t>seedling88</t>
  </si>
  <si>
    <t>seedling89</t>
  </si>
  <si>
    <t>seedling91</t>
  </si>
  <si>
    <t>seedling92</t>
  </si>
  <si>
    <t>seedling93</t>
  </si>
  <si>
    <t>seedling94</t>
  </si>
  <si>
    <t>seedling95</t>
  </si>
  <si>
    <t>seedling96</t>
  </si>
  <si>
    <t>plate9</t>
  </si>
  <si>
    <t>plate10</t>
  </si>
  <si>
    <t>plate11</t>
  </si>
  <si>
    <t>plate12</t>
  </si>
  <si>
    <t>seedling71</t>
  </si>
  <si>
    <t>seedling72</t>
  </si>
  <si>
    <t>seedling73</t>
  </si>
  <si>
    <t>seedling74</t>
  </si>
  <si>
    <t>seedling75</t>
  </si>
  <si>
    <t>seedling76</t>
  </si>
  <si>
    <t>seedling81</t>
  </si>
  <si>
    <t>seedling82</t>
  </si>
  <si>
    <t>seedling90</t>
  </si>
  <si>
    <t>20220509_pNRT2.1LUC_1mM_N9_luc.tif:0168-0049</t>
  </si>
  <si>
    <t>20220509_pNRT2.1LUC_1mM_N9_luc.tif:0190-0100</t>
  </si>
  <si>
    <t>20220509_pNRT2.1LUC_1mM_N9_luc.tif:0197-0160</t>
  </si>
  <si>
    <t>20220509_pNRT2.1LUC_1mM_N9_luc.tif:0190-0217</t>
  </si>
  <si>
    <t>20220509_pNRT2.1LUC_1mM_N9_luc.tif:0199-0292</t>
  </si>
  <si>
    <t>20220509_pNRT2.1LUC_1mM_N9_luc.tif:0171-0334</t>
  </si>
  <si>
    <t>20220509_pNRT2.1LUC_1mM_N9_luc.tif:0189-0397</t>
  </si>
  <si>
    <t>20220509_pNRT2.1LUC_1mM_N9_luc.tif:0187-0435</t>
  </si>
  <si>
    <t>20220509_pNRT2.1LUC_1mM_N9_luc.tif:0391-0455</t>
  </si>
  <si>
    <t>20220509_pNRT2.1LUC_1mM_N9_luc.tif:0394-0273</t>
  </si>
  <si>
    <t>20220509_pNRT2.1LUC_1mM_N9_luc.tif:0406-0057</t>
  </si>
  <si>
    <t>20220509_pNRT2.1LUC_1mM_N10_luc.tif:0163-0043</t>
  </si>
  <si>
    <t>20220509_pNRT2.1LUC_1mM_N10_luc.tif:0183-0107</t>
  </si>
  <si>
    <t>20220509_pNRT2.1LUC_1mM_N10_luc.tif:0180-0167</t>
  </si>
  <si>
    <t>20220509_pNRT2.1LUC_1mM_N10_luc.tif:0174-0214</t>
  </si>
  <si>
    <t>20220509_pNRT2.1LUC_1mM_N10_luc.tif:0178-0270</t>
  </si>
  <si>
    <t>20220509_pNRT2.1LUC_1mM_N10_luc.tif:0175-0337</t>
  </si>
  <si>
    <t>20220509_pNRT2.1LUC_1mM_N10_luc.tif:0188-0378</t>
  </si>
  <si>
    <t>20220509_pNRT2.1LUC_1mM_N10_luc.tif:0192-0425</t>
  </si>
  <si>
    <t>20220509_pNRT2.1LUC_1mM_N10_luc.tif:0401-0306</t>
  </si>
  <si>
    <t>20220509_pNRT2.1LUC_1mM_N10_luc.tif:0403-0107</t>
  </si>
  <si>
    <t>20220509_pNRT2.1LUC_1mM_N10_luc.tif:0405-0232</t>
  </si>
  <si>
    <t>20220509_pNRT2.1LUC_1mM_N11_luc.tif:0160-0051</t>
  </si>
  <si>
    <t>20220509_pNRT2.1LUC_1mM_N11_luc.tif:0178-0115</t>
  </si>
  <si>
    <t>20220509_pNRT2.1LUC_1mM_N11_luc.tif:0175-0154</t>
  </si>
  <si>
    <t>20220509_pNRT2.1LUC_1mM_N11_luc.tif:0181-0205</t>
  </si>
  <si>
    <t>20220509_pNRT2.1LUC_1mM_N11_luc.tif:0171-0274</t>
  </si>
  <si>
    <t>20220509_pNRT2.1LUC_1mM_N11_luc.tif:0155-0333</t>
  </si>
  <si>
    <t>20220509_pNRT2.1LUC_1mM_N11_luc.tif:0184-0377</t>
  </si>
  <si>
    <t>20220509_pNRT2.1LUC_1mM_N11_luc.tif:0191-0431</t>
  </si>
  <si>
    <t>20220509_pNRT2.1LUC_1mM_N11_luc.tif:0420-0387</t>
  </si>
  <si>
    <t>20220509_pNRT2.1LUC_1mM_N11_luc.tif:0410-0281</t>
  </si>
  <si>
    <t>20220509_pNRT2.1LUC_1mM_N11_luc.tif:0394-0197</t>
  </si>
  <si>
    <t>20220509_pNRT2.1LUC_1mM_N12_luc.tif:0175-0054</t>
  </si>
  <si>
    <t>20220509_pNRT2.1LUC_1mM_N12_luc.tif:0157-0103</t>
  </si>
  <si>
    <t>20220509_pNRT2.1LUC_1mM_N12_luc.tif:0153-0160</t>
  </si>
  <si>
    <t>20220509_pNRT2.1LUC_1mM_N12_luc.tif:0168-0206</t>
  </si>
  <si>
    <t>20220509_pNRT2.1LUC_1mM_N12_luc.tif:0157-0273</t>
  </si>
  <si>
    <t>20220509_pNRT2.1LUC_1mM_N12_luc.tif:0175-0322</t>
  </si>
  <si>
    <t>20220509_pNRT2.1LUC_1mM_N12_luc.tif:0190-0371</t>
  </si>
  <si>
    <t>20220509_pNRT2.1LUC_1mM_N12_luc.tif:0182-0420</t>
  </si>
  <si>
    <t>20220509_pNRT2.1LUC_1mM_N12_luc.tif:0397-0435</t>
  </si>
  <si>
    <t>20220509_pNRT2.1LUC_1mM_N12_luc.tif:0408-0276</t>
  </si>
  <si>
    <t>20220509_pNRT2.1LUC_1mM_N12_luc.tif:0408-0079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</si>
</sst>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zoomScale="80" zoomScaleNormal="80" workbookViewId="0">
      <selection activeCell="M65" sqref="M65"/>
    </sheetView>
  </sheetViews>
  <sheetFormatPr baseColWidth="10" defaultColWidth="9.1640625" defaultRowHeight="15" x14ac:dyDescent="0.2"/>
  <cols>
    <col min="2" max="2" width="49.33203125" bestFit="1" customWidth="1"/>
    <col min="7" max="7" width="13.5" customWidth="1"/>
    <col min="8" max="8" width="11.83203125" customWidth="1"/>
    <col min="9" max="9" width="13.6640625" customWidth="1"/>
    <col min="10" max="10" width="19" customWidth="1"/>
    <col min="11" max="11" width="11.5" customWidth="1"/>
    <col min="12" max="12" width="14.33203125" customWidth="1"/>
    <col min="13" max="13" width="21.1640625" customWidth="1"/>
    <col min="14" max="14" width="23.33203125" customWidth="1"/>
    <col min="15" max="15" width="27.1640625" customWidth="1"/>
    <col min="16" max="16" width="27.6640625" customWidth="1"/>
  </cols>
  <sheetData>
    <row r="1" spans="1:15" x14ac:dyDescent="0.2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16</v>
      </c>
      <c r="N1" t="s">
        <v>11</v>
      </c>
      <c r="O1" s="1" t="s">
        <v>12</v>
      </c>
    </row>
    <row r="2" spans="1:15" x14ac:dyDescent="0.2">
      <c r="A2">
        <v>1</v>
      </c>
      <c r="B2" t="s">
        <v>54</v>
      </c>
      <c r="C2">
        <v>1582</v>
      </c>
      <c r="D2">
        <v>316.80799999999999</v>
      </c>
      <c r="E2">
        <v>501191</v>
      </c>
      <c r="F2">
        <v>301</v>
      </c>
      <c r="G2">
        <v>501191</v>
      </c>
      <c r="H2">
        <v>196.94300000000001</v>
      </c>
      <c r="I2" t="s">
        <v>18</v>
      </c>
      <c r="J2" t="s">
        <v>15</v>
      </c>
      <c r="K2" t="s">
        <v>13</v>
      </c>
      <c r="L2">
        <f t="shared" ref="L2:L45" si="0">H2/4.95</f>
        <v>39.786464646464644</v>
      </c>
      <c r="M2" t="s">
        <v>41</v>
      </c>
      <c r="N2">
        <f>G2-(((G$10/C$10*C2)+(G$11/C$11*C2)+(G$12/C$12*C2))/3)</f>
        <v>66255.197117716831</v>
      </c>
      <c r="O2">
        <f t="shared" ref="O2:O45" si="1">N2/L2</f>
        <v>1665.2697772081178</v>
      </c>
    </row>
    <row r="3" spans="1:15" x14ac:dyDescent="0.2">
      <c r="A3">
        <v>2</v>
      </c>
      <c r="B3" t="s">
        <v>55</v>
      </c>
      <c r="C3">
        <v>1942</v>
      </c>
      <c r="D3">
        <v>386.86599999999999</v>
      </c>
      <c r="E3">
        <v>751294</v>
      </c>
      <c r="F3">
        <v>352</v>
      </c>
      <c r="G3">
        <v>751294</v>
      </c>
      <c r="H3">
        <v>241.20099999999999</v>
      </c>
      <c r="I3" t="s">
        <v>19</v>
      </c>
      <c r="J3" t="s">
        <v>15</v>
      </c>
      <c r="K3" t="s">
        <v>13</v>
      </c>
      <c r="L3">
        <f t="shared" si="0"/>
        <v>48.727474747474744</v>
      </c>
      <c r="M3" t="s">
        <v>41</v>
      </c>
      <c r="N3">
        <f>G3-(((G$10/C$10*C3)+(G$11/C$11*C3)+(G$12/C$12*C3))/3)</f>
        <v>217384.18381959933</v>
      </c>
      <c r="O3">
        <f t="shared" si="1"/>
        <v>4461.2240824333931</v>
      </c>
    </row>
    <row r="4" spans="1:15" x14ac:dyDescent="0.2">
      <c r="A4">
        <v>3</v>
      </c>
      <c r="B4" t="s">
        <v>56</v>
      </c>
      <c r="C4">
        <v>2203</v>
      </c>
      <c r="D4">
        <v>435.77600000000001</v>
      </c>
      <c r="E4">
        <v>960014</v>
      </c>
      <c r="F4">
        <v>391</v>
      </c>
      <c r="G4">
        <v>960014</v>
      </c>
      <c r="H4">
        <v>275.47699999999998</v>
      </c>
      <c r="I4" t="s">
        <v>20</v>
      </c>
      <c r="J4" t="s">
        <v>15</v>
      </c>
      <c r="K4" t="s">
        <v>13</v>
      </c>
      <c r="L4">
        <f t="shared" si="0"/>
        <v>55.651919191919184</v>
      </c>
      <c r="M4" t="s">
        <v>41</v>
      </c>
      <c r="N4">
        <f>G4-(((G$10/C$10*C4)+(G$11/C$11*C4)+(G$12/C$12*C4))/3)</f>
        <v>354348.02417846408</v>
      </c>
      <c r="O4">
        <f t="shared" si="1"/>
        <v>6367.2202023522741</v>
      </c>
    </row>
    <row r="5" spans="1:15" x14ac:dyDescent="0.2">
      <c r="A5">
        <v>4</v>
      </c>
      <c r="B5" t="s">
        <v>57</v>
      </c>
      <c r="C5">
        <v>2075</v>
      </c>
      <c r="D5">
        <v>387.721</v>
      </c>
      <c r="E5">
        <v>804522</v>
      </c>
      <c r="F5">
        <v>356</v>
      </c>
      <c r="G5">
        <v>804522</v>
      </c>
      <c r="H5">
        <v>258.464</v>
      </c>
      <c r="I5" t="s">
        <v>21</v>
      </c>
      <c r="J5" t="s">
        <v>15</v>
      </c>
      <c r="K5" t="s">
        <v>13</v>
      </c>
      <c r="L5">
        <f t="shared" si="0"/>
        <v>52.214949494949494</v>
      </c>
      <c r="M5" t="s">
        <v>41</v>
      </c>
      <c r="N5">
        <f t="shared" ref="N5:N8" si="2">G5-(((G$10/C$10*C5)+(G$11/C$11*C5)+(G$12/C$12*C5))/3)</f>
        <v>234046.78446223924</v>
      </c>
      <c r="O5">
        <f t="shared" si="1"/>
        <v>4482.3711738891461</v>
      </c>
    </row>
    <row r="6" spans="1:15" x14ac:dyDescent="0.2">
      <c r="A6">
        <v>5</v>
      </c>
      <c r="B6" t="s">
        <v>58</v>
      </c>
      <c r="C6">
        <v>2129</v>
      </c>
      <c r="D6">
        <v>448.15199999999999</v>
      </c>
      <c r="E6">
        <v>954116</v>
      </c>
      <c r="F6">
        <v>406</v>
      </c>
      <c r="G6">
        <v>954116</v>
      </c>
      <c r="H6">
        <v>264.72000000000003</v>
      </c>
      <c r="I6" t="s">
        <v>22</v>
      </c>
      <c r="J6" t="s">
        <v>15</v>
      </c>
      <c r="K6" t="s">
        <v>13</v>
      </c>
      <c r="L6">
        <f t="shared" si="0"/>
        <v>53.478787878787884</v>
      </c>
      <c r="M6" t="s">
        <v>41</v>
      </c>
      <c r="N6">
        <f t="shared" si="2"/>
        <v>368794.68246752152</v>
      </c>
      <c r="O6">
        <f t="shared" si="1"/>
        <v>6896.0927705282238</v>
      </c>
    </row>
    <row r="7" spans="1:15" x14ac:dyDescent="0.2">
      <c r="A7">
        <v>6</v>
      </c>
      <c r="B7" t="s">
        <v>59</v>
      </c>
      <c r="C7">
        <v>1887</v>
      </c>
      <c r="D7">
        <v>400.99799999999999</v>
      </c>
      <c r="E7">
        <v>756684</v>
      </c>
      <c r="F7">
        <v>355</v>
      </c>
      <c r="G7">
        <v>756684</v>
      </c>
      <c r="H7">
        <v>235.12299999999999</v>
      </c>
      <c r="I7" t="s">
        <v>23</v>
      </c>
      <c r="J7" t="s">
        <v>15</v>
      </c>
      <c r="K7" t="s">
        <v>13</v>
      </c>
      <c r="L7">
        <f t="shared" si="0"/>
        <v>47.499595959595958</v>
      </c>
      <c r="M7" t="s">
        <v>41</v>
      </c>
      <c r="N7">
        <f t="shared" si="2"/>
        <v>237895.21362903388</v>
      </c>
      <c r="O7">
        <f t="shared" si="1"/>
        <v>5008.3628886315582</v>
      </c>
    </row>
    <row r="8" spans="1:15" x14ac:dyDescent="0.2">
      <c r="A8">
        <v>7</v>
      </c>
      <c r="B8" t="s">
        <v>60</v>
      </c>
      <c r="C8">
        <v>2071</v>
      </c>
      <c r="D8">
        <v>431.80200000000002</v>
      </c>
      <c r="E8">
        <v>894261</v>
      </c>
      <c r="F8">
        <v>383</v>
      </c>
      <c r="G8">
        <v>894261</v>
      </c>
      <c r="H8">
        <v>258.09199999999998</v>
      </c>
      <c r="I8" t="s">
        <v>45</v>
      </c>
      <c r="J8" t="s">
        <v>15</v>
      </c>
      <c r="K8" t="s">
        <v>13</v>
      </c>
      <c r="L8">
        <f t="shared" si="0"/>
        <v>52.139797979797976</v>
      </c>
      <c r="M8" t="s">
        <v>41</v>
      </c>
      <c r="N8">
        <f t="shared" si="2"/>
        <v>324885.49572110712</v>
      </c>
      <c r="O8">
        <f t="shared" si="1"/>
        <v>6231.0463083686454</v>
      </c>
    </row>
    <row r="9" spans="1:15" x14ac:dyDescent="0.2">
      <c r="A9">
        <v>8</v>
      </c>
      <c r="B9" t="s">
        <v>61</v>
      </c>
      <c r="C9">
        <v>2014</v>
      </c>
      <c r="D9">
        <v>389.63400000000001</v>
      </c>
      <c r="E9">
        <v>784722</v>
      </c>
      <c r="F9">
        <v>342</v>
      </c>
      <c r="G9">
        <v>784722</v>
      </c>
      <c r="H9">
        <v>250.88</v>
      </c>
      <c r="I9" t="s">
        <v>46</v>
      </c>
      <c r="J9" t="s">
        <v>15</v>
      </c>
      <c r="K9" t="s">
        <v>13</v>
      </c>
      <c r="L9">
        <f t="shared" ref="L9" si="3">H9/4.95</f>
        <v>50.682828282828282</v>
      </c>
      <c r="M9" t="s">
        <v>41</v>
      </c>
      <c r="N9">
        <f t="shared" ref="N9" si="4">G9-(((G$10/C$10*C9)+(G$11/C$11*C9)+(G$12/C$12*C9))/3)</f>
        <v>231017.38115997578</v>
      </c>
      <c r="O9">
        <f t="shared" ref="O9" si="5">N9/L9</f>
        <v>4558.0996362479273</v>
      </c>
    </row>
    <row r="10" spans="1:15" x14ac:dyDescent="0.2">
      <c r="A10">
        <v>9</v>
      </c>
      <c r="B10" t="s">
        <v>62</v>
      </c>
      <c r="C10">
        <v>1675</v>
      </c>
      <c r="D10">
        <v>275.25400000000002</v>
      </c>
      <c r="E10">
        <v>461050</v>
      </c>
      <c r="F10">
        <v>275</v>
      </c>
      <c r="G10">
        <v>461050</v>
      </c>
      <c r="H10">
        <v>208.178</v>
      </c>
      <c r="I10" t="s">
        <v>14</v>
      </c>
      <c r="K10" t="s">
        <v>13</v>
      </c>
      <c r="L10">
        <f t="shared" si="0"/>
        <v>42.056161616161617</v>
      </c>
      <c r="M10" t="s">
        <v>41</v>
      </c>
      <c r="O10">
        <f t="shared" si="1"/>
        <v>0</v>
      </c>
    </row>
    <row r="11" spans="1:15" x14ac:dyDescent="0.2">
      <c r="A11">
        <v>10</v>
      </c>
      <c r="B11" t="s">
        <v>63</v>
      </c>
      <c r="C11">
        <v>1573</v>
      </c>
      <c r="D11">
        <v>275.76799999999997</v>
      </c>
      <c r="E11">
        <v>433783</v>
      </c>
      <c r="F11">
        <v>276</v>
      </c>
      <c r="G11">
        <v>433783</v>
      </c>
      <c r="H11">
        <v>195.41</v>
      </c>
      <c r="I11" t="s">
        <v>14</v>
      </c>
      <c r="K11" t="s">
        <v>13</v>
      </c>
      <c r="L11">
        <f t="shared" si="0"/>
        <v>39.476767676767672</v>
      </c>
      <c r="M11" t="s">
        <v>41</v>
      </c>
      <c r="O11">
        <f t="shared" si="1"/>
        <v>0</v>
      </c>
    </row>
    <row r="12" spans="1:15" x14ac:dyDescent="0.2">
      <c r="A12">
        <v>11</v>
      </c>
      <c r="B12" t="s">
        <v>64</v>
      </c>
      <c r="C12">
        <v>1574</v>
      </c>
      <c r="D12">
        <v>273.762</v>
      </c>
      <c r="E12">
        <v>430901</v>
      </c>
      <c r="F12">
        <v>274</v>
      </c>
      <c r="G12">
        <v>430901</v>
      </c>
      <c r="H12">
        <v>195.995</v>
      </c>
      <c r="I12" t="s">
        <v>14</v>
      </c>
      <c r="K12" t="s">
        <v>13</v>
      </c>
      <c r="L12">
        <f t="shared" si="0"/>
        <v>39.594949494949496</v>
      </c>
      <c r="M12" t="s">
        <v>41</v>
      </c>
      <c r="O12">
        <f t="shared" si="1"/>
        <v>0</v>
      </c>
    </row>
    <row r="13" spans="1:15" x14ac:dyDescent="0.2">
      <c r="A13">
        <v>1</v>
      </c>
      <c r="B13" t="s">
        <v>65</v>
      </c>
      <c r="C13">
        <v>1765</v>
      </c>
      <c r="D13">
        <v>335.30900000000003</v>
      </c>
      <c r="E13">
        <v>591821</v>
      </c>
      <c r="F13">
        <v>316</v>
      </c>
      <c r="G13">
        <v>591821</v>
      </c>
      <c r="H13">
        <v>220.16300000000001</v>
      </c>
      <c r="I13" t="s">
        <v>47</v>
      </c>
      <c r="J13" t="s">
        <v>15</v>
      </c>
      <c r="K13" t="s">
        <v>13</v>
      </c>
      <c r="L13">
        <f t="shared" si="0"/>
        <v>44.477373737373739</v>
      </c>
      <c r="M13" t="s">
        <v>42</v>
      </c>
      <c r="N13">
        <f>G13-(((G$21/C$21*C13)+(G$22/C$22*C13)+(G$23/C$23*C13))/3)</f>
        <v>105784.69713864475</v>
      </c>
      <c r="O13">
        <f t="shared" si="1"/>
        <v>2378.3935122445259</v>
      </c>
    </row>
    <row r="14" spans="1:15" x14ac:dyDescent="0.2">
      <c r="A14">
        <v>2</v>
      </c>
      <c r="B14" t="s">
        <v>66</v>
      </c>
      <c r="C14">
        <v>1986</v>
      </c>
      <c r="D14">
        <v>380.17399999999998</v>
      </c>
      <c r="E14">
        <v>755026</v>
      </c>
      <c r="F14">
        <v>349</v>
      </c>
      <c r="G14">
        <v>755026</v>
      </c>
      <c r="H14">
        <v>248.16499999999999</v>
      </c>
      <c r="I14" t="s">
        <v>48</v>
      </c>
      <c r="J14" t="s">
        <v>15</v>
      </c>
      <c r="K14" t="s">
        <v>13</v>
      </c>
      <c r="L14">
        <f t="shared" si="0"/>
        <v>50.134343434343428</v>
      </c>
      <c r="M14" t="s">
        <v>42</v>
      </c>
      <c r="N14">
        <f t="shared" ref="N14:N20" si="6">G14-(((G$21/C$21*C14)+(G$22/C$22*C14)+(G$23/C$23*C14))/3)</f>
        <v>208131.89377753448</v>
      </c>
      <c r="O14">
        <f t="shared" si="1"/>
        <v>4151.4833848399085</v>
      </c>
    </row>
    <row r="15" spans="1:15" x14ac:dyDescent="0.2">
      <c r="A15">
        <v>3</v>
      </c>
      <c r="B15" t="s">
        <v>67</v>
      </c>
      <c r="C15">
        <v>2007</v>
      </c>
      <c r="D15">
        <v>416.00599999999997</v>
      </c>
      <c r="E15">
        <v>834924</v>
      </c>
      <c r="F15">
        <v>366</v>
      </c>
      <c r="G15">
        <v>834924</v>
      </c>
      <c r="H15">
        <v>250.98400000000001</v>
      </c>
      <c r="I15" t="s">
        <v>49</v>
      </c>
      <c r="J15" t="s">
        <v>15</v>
      </c>
      <c r="K15" t="s">
        <v>13</v>
      </c>
      <c r="L15">
        <f t="shared" si="0"/>
        <v>50.703838383838381</v>
      </c>
      <c r="M15" t="s">
        <v>42</v>
      </c>
      <c r="N15">
        <f t="shared" si="6"/>
        <v>282247.02558484988</v>
      </c>
      <c r="O15">
        <f t="shared" si="1"/>
        <v>5566.5810435924477</v>
      </c>
    </row>
    <row r="16" spans="1:15" x14ac:dyDescent="0.2">
      <c r="A16">
        <v>4</v>
      </c>
      <c r="B16" t="s">
        <v>68</v>
      </c>
      <c r="C16">
        <v>1940</v>
      </c>
      <c r="D16">
        <v>403.01400000000001</v>
      </c>
      <c r="E16">
        <v>781848</v>
      </c>
      <c r="F16">
        <v>369</v>
      </c>
      <c r="G16">
        <v>781848</v>
      </c>
      <c r="H16">
        <v>241.65799999999999</v>
      </c>
      <c r="I16" t="s">
        <v>50</v>
      </c>
      <c r="J16" t="s">
        <v>15</v>
      </c>
      <c r="K16" t="s">
        <v>13</v>
      </c>
      <c r="L16">
        <f t="shared" si="0"/>
        <v>48.819797979797976</v>
      </c>
      <c r="M16" t="s">
        <v>42</v>
      </c>
      <c r="N16">
        <f t="shared" si="6"/>
        <v>247621.1288662724</v>
      </c>
      <c r="O16">
        <f t="shared" si="1"/>
        <v>5072.1457095897858</v>
      </c>
    </row>
    <row r="17" spans="1:15" x14ac:dyDescent="0.2">
      <c r="A17">
        <v>5</v>
      </c>
      <c r="B17" t="s">
        <v>69</v>
      </c>
      <c r="C17">
        <v>1852</v>
      </c>
      <c r="D17">
        <v>525.56200000000001</v>
      </c>
      <c r="E17">
        <v>973340</v>
      </c>
      <c r="F17">
        <v>457</v>
      </c>
      <c r="G17">
        <v>973340</v>
      </c>
      <c r="H17">
        <v>230.80500000000001</v>
      </c>
      <c r="I17" t="s">
        <v>24</v>
      </c>
      <c r="J17" t="s">
        <v>15</v>
      </c>
      <c r="K17" t="s">
        <v>13</v>
      </c>
      <c r="L17">
        <f t="shared" si="0"/>
        <v>46.627272727272725</v>
      </c>
      <c r="M17" t="s">
        <v>42</v>
      </c>
      <c r="N17">
        <f t="shared" si="6"/>
        <v>463346.10034037963</v>
      </c>
      <c r="O17">
        <f t="shared" si="1"/>
        <v>9937.233581096074</v>
      </c>
    </row>
    <row r="18" spans="1:15" x14ac:dyDescent="0.2">
      <c r="A18">
        <v>6</v>
      </c>
      <c r="B18" t="s">
        <v>70</v>
      </c>
      <c r="C18">
        <v>2026</v>
      </c>
      <c r="D18">
        <v>442.80700000000002</v>
      </c>
      <c r="E18">
        <v>897127</v>
      </c>
      <c r="F18">
        <v>392</v>
      </c>
      <c r="G18">
        <v>897127</v>
      </c>
      <c r="H18">
        <v>252.33500000000001</v>
      </c>
      <c r="I18" t="s">
        <v>25</v>
      </c>
      <c r="J18" t="s">
        <v>15</v>
      </c>
      <c r="K18" t="s">
        <v>13</v>
      </c>
      <c r="L18">
        <f t="shared" si="0"/>
        <v>50.976767676767679</v>
      </c>
      <c r="M18" t="s">
        <v>42</v>
      </c>
      <c r="N18">
        <f t="shared" si="6"/>
        <v>339217.90674384939</v>
      </c>
      <c r="O18">
        <f t="shared" si="1"/>
        <v>6654.3628049301697</v>
      </c>
    </row>
    <row r="19" spans="1:15" x14ac:dyDescent="0.2">
      <c r="A19">
        <v>7</v>
      </c>
      <c r="B19" t="s">
        <v>71</v>
      </c>
      <c r="C19">
        <v>1949</v>
      </c>
      <c r="D19">
        <v>402.29500000000002</v>
      </c>
      <c r="E19">
        <v>784073</v>
      </c>
      <c r="F19">
        <v>365</v>
      </c>
      <c r="G19">
        <v>784073</v>
      </c>
      <c r="H19">
        <v>242.78899999999999</v>
      </c>
      <c r="I19" t="s">
        <v>26</v>
      </c>
      <c r="J19" t="s">
        <v>15</v>
      </c>
      <c r="K19" t="s">
        <v>13</v>
      </c>
      <c r="L19">
        <f t="shared" si="0"/>
        <v>49.048282828282822</v>
      </c>
      <c r="M19" t="s">
        <v>42</v>
      </c>
      <c r="N19">
        <f t="shared" si="6"/>
        <v>247367.75678369321</v>
      </c>
      <c r="O19">
        <f t="shared" si="1"/>
        <v>5043.3520302784791</v>
      </c>
    </row>
    <row r="20" spans="1:15" x14ac:dyDescent="0.2">
      <c r="A20">
        <v>8</v>
      </c>
      <c r="B20" t="s">
        <v>72</v>
      </c>
      <c r="C20">
        <v>1858</v>
      </c>
      <c r="D20">
        <v>390.39800000000002</v>
      </c>
      <c r="E20">
        <v>725359</v>
      </c>
      <c r="F20">
        <v>345</v>
      </c>
      <c r="G20">
        <v>725359</v>
      </c>
      <c r="H20">
        <v>231.86199999999999</v>
      </c>
      <c r="I20" t="s">
        <v>27</v>
      </c>
      <c r="J20" t="s">
        <v>15</v>
      </c>
      <c r="K20" t="s">
        <v>13</v>
      </c>
      <c r="L20">
        <f t="shared" si="0"/>
        <v>46.840808080808081</v>
      </c>
      <c r="M20" t="s">
        <v>42</v>
      </c>
      <c r="N20">
        <f t="shared" si="6"/>
        <v>213712.85228532687</v>
      </c>
      <c r="O20">
        <f t="shared" si="1"/>
        <v>4562.5355548229891</v>
      </c>
    </row>
    <row r="21" spans="1:15" x14ac:dyDescent="0.2">
      <c r="A21">
        <v>9</v>
      </c>
      <c r="B21" t="s">
        <v>73</v>
      </c>
      <c r="C21">
        <v>1661</v>
      </c>
      <c r="D21">
        <v>275.733</v>
      </c>
      <c r="E21">
        <v>457993</v>
      </c>
      <c r="F21">
        <v>276</v>
      </c>
      <c r="G21">
        <v>457993</v>
      </c>
      <c r="H21">
        <v>206.74</v>
      </c>
      <c r="I21" t="s">
        <v>14</v>
      </c>
      <c r="K21" t="s">
        <v>13</v>
      </c>
      <c r="L21">
        <f t="shared" si="0"/>
        <v>41.765656565656563</v>
      </c>
      <c r="M21" t="s">
        <v>42</v>
      </c>
      <c r="O21">
        <f t="shared" si="1"/>
        <v>0</v>
      </c>
    </row>
    <row r="22" spans="1:15" x14ac:dyDescent="0.2">
      <c r="A22">
        <v>10</v>
      </c>
      <c r="B22" t="s">
        <v>74</v>
      </c>
      <c r="C22">
        <v>1661</v>
      </c>
      <c r="D22">
        <v>274.738</v>
      </c>
      <c r="E22">
        <v>456340</v>
      </c>
      <c r="F22">
        <v>275</v>
      </c>
      <c r="G22">
        <v>456340</v>
      </c>
      <c r="H22">
        <v>206.56299999999999</v>
      </c>
      <c r="I22" t="s">
        <v>14</v>
      </c>
      <c r="K22" t="s">
        <v>13</v>
      </c>
      <c r="L22">
        <f t="shared" si="0"/>
        <v>41.729898989898984</v>
      </c>
      <c r="M22" t="s">
        <v>42</v>
      </c>
      <c r="O22">
        <f t="shared" si="1"/>
        <v>0</v>
      </c>
    </row>
    <row r="23" spans="1:15" x14ac:dyDescent="0.2">
      <c r="A23">
        <v>11</v>
      </c>
      <c r="B23" t="s">
        <v>75</v>
      </c>
      <c r="C23">
        <v>1543</v>
      </c>
      <c r="D23">
        <v>275.65300000000002</v>
      </c>
      <c r="E23">
        <v>425332</v>
      </c>
      <c r="F23">
        <v>276</v>
      </c>
      <c r="G23">
        <v>425332</v>
      </c>
      <c r="H23">
        <v>192.161</v>
      </c>
      <c r="I23" t="s">
        <v>14</v>
      </c>
      <c r="K23" t="s">
        <v>13</v>
      </c>
      <c r="L23">
        <f t="shared" si="0"/>
        <v>38.820404040404043</v>
      </c>
      <c r="M23" t="s">
        <v>42</v>
      </c>
      <c r="O23">
        <f t="shared" si="1"/>
        <v>0</v>
      </c>
    </row>
    <row r="24" spans="1:15" x14ac:dyDescent="0.2">
      <c r="A24">
        <v>1</v>
      </c>
      <c r="B24" t="s">
        <v>76</v>
      </c>
      <c r="C24">
        <v>1486</v>
      </c>
      <c r="D24">
        <v>312.14100000000002</v>
      </c>
      <c r="E24">
        <v>463842</v>
      </c>
      <c r="F24">
        <v>298</v>
      </c>
      <c r="G24">
        <v>463842</v>
      </c>
      <c r="H24">
        <v>185.017</v>
      </c>
      <c r="I24" t="s">
        <v>51</v>
      </c>
      <c r="J24" t="s">
        <v>15</v>
      </c>
      <c r="K24" t="s">
        <v>13</v>
      </c>
      <c r="L24">
        <f t="shared" si="0"/>
        <v>37.377171717171713</v>
      </c>
      <c r="M24" t="s">
        <v>43</v>
      </c>
      <c r="N24">
        <f>G24-(((G$32/C$32*C24)+(G$33/C$33*C24)+(G$34/C$34*C24))/3)</f>
        <v>56367.486735908373</v>
      </c>
      <c r="O24">
        <f t="shared" si="1"/>
        <v>1508.0725519425052</v>
      </c>
    </row>
    <row r="25" spans="1:15" x14ac:dyDescent="0.2">
      <c r="A25">
        <v>2</v>
      </c>
      <c r="B25" t="s">
        <v>77</v>
      </c>
      <c r="C25">
        <v>1871</v>
      </c>
      <c r="D25">
        <v>343.20499999999998</v>
      </c>
      <c r="E25">
        <v>642136</v>
      </c>
      <c r="F25">
        <v>315</v>
      </c>
      <c r="G25">
        <v>642136</v>
      </c>
      <c r="H25">
        <v>233.602</v>
      </c>
      <c r="I25" t="s">
        <v>52</v>
      </c>
      <c r="J25" t="s">
        <v>15</v>
      </c>
      <c r="K25" t="s">
        <v>13</v>
      </c>
      <c r="L25">
        <f t="shared" si="0"/>
        <v>47.192323232323233</v>
      </c>
      <c r="M25" t="s">
        <v>43</v>
      </c>
      <c r="N25">
        <f t="shared" ref="N25:N31" si="7">G25-(((G$32/C$32*C25)+(G$33/C$33*C25)+(G$34/C$34*C25))/3)</f>
        <v>129091.03747165855</v>
      </c>
      <c r="O25">
        <f t="shared" si="1"/>
        <v>2735.4245061459656</v>
      </c>
    </row>
    <row r="26" spans="1:15" x14ac:dyDescent="0.2">
      <c r="A26">
        <v>3</v>
      </c>
      <c r="B26" t="s">
        <v>78</v>
      </c>
      <c r="C26">
        <v>1813</v>
      </c>
      <c r="D26">
        <v>353.60300000000001</v>
      </c>
      <c r="E26">
        <v>641082</v>
      </c>
      <c r="F26">
        <v>328</v>
      </c>
      <c r="G26">
        <v>641082</v>
      </c>
      <c r="H26">
        <v>225.96</v>
      </c>
      <c r="I26" t="s">
        <v>28</v>
      </c>
      <c r="J26" t="s">
        <v>15</v>
      </c>
      <c r="K26" t="s">
        <v>13</v>
      </c>
      <c r="L26">
        <f t="shared" si="0"/>
        <v>45.648484848484848</v>
      </c>
      <c r="M26" t="s">
        <v>43</v>
      </c>
      <c r="N26">
        <f t="shared" si="7"/>
        <v>143941.15710107796</v>
      </c>
      <c r="O26">
        <f t="shared" si="1"/>
        <v>3153.2515828037526</v>
      </c>
    </row>
    <row r="27" spans="1:15" x14ac:dyDescent="0.2">
      <c r="A27">
        <v>4</v>
      </c>
      <c r="B27" t="s">
        <v>79</v>
      </c>
      <c r="C27">
        <v>1841</v>
      </c>
      <c r="D27">
        <v>371.27699999999999</v>
      </c>
      <c r="E27">
        <v>683521</v>
      </c>
      <c r="F27">
        <v>341</v>
      </c>
      <c r="G27">
        <v>683521</v>
      </c>
      <c r="H27">
        <v>228.691</v>
      </c>
      <c r="I27" t="s">
        <v>29</v>
      </c>
      <c r="J27" t="s">
        <v>15</v>
      </c>
      <c r="K27" t="s">
        <v>13</v>
      </c>
      <c r="L27">
        <f t="shared" si="0"/>
        <v>46.20020202020202</v>
      </c>
      <c r="M27" t="s">
        <v>43</v>
      </c>
      <c r="N27">
        <f t="shared" si="7"/>
        <v>178702.30624549621</v>
      </c>
      <c r="O27">
        <f t="shared" si="1"/>
        <v>3867.998372980162</v>
      </c>
    </row>
    <row r="28" spans="1:15" x14ac:dyDescent="0.2">
      <c r="A28">
        <v>5</v>
      </c>
      <c r="B28" t="s">
        <v>80</v>
      </c>
      <c r="C28">
        <v>1713</v>
      </c>
      <c r="D28">
        <v>370.36200000000002</v>
      </c>
      <c r="E28">
        <v>634430</v>
      </c>
      <c r="F28">
        <v>338</v>
      </c>
      <c r="G28">
        <v>634430</v>
      </c>
      <c r="H28">
        <v>212.327</v>
      </c>
      <c r="I28" t="s">
        <v>30</v>
      </c>
      <c r="J28" t="s">
        <v>15</v>
      </c>
      <c r="K28" t="s">
        <v>13</v>
      </c>
      <c r="L28">
        <f t="shared" si="0"/>
        <v>42.894343434343433</v>
      </c>
      <c r="M28" t="s">
        <v>43</v>
      </c>
      <c r="N28">
        <f t="shared" si="7"/>
        <v>164710.0530138702</v>
      </c>
      <c r="O28">
        <f t="shared" si="1"/>
        <v>3839.9014841195776</v>
      </c>
    </row>
    <row r="29" spans="1:15" x14ac:dyDescent="0.2">
      <c r="A29">
        <v>6</v>
      </c>
      <c r="B29" t="s">
        <v>81</v>
      </c>
      <c r="C29">
        <v>1409</v>
      </c>
      <c r="D29">
        <v>486.93200000000002</v>
      </c>
      <c r="E29">
        <v>686087</v>
      </c>
      <c r="F29">
        <v>403</v>
      </c>
      <c r="G29">
        <v>686087</v>
      </c>
      <c r="H29">
        <v>174.90799999999999</v>
      </c>
      <c r="I29" t="s">
        <v>31</v>
      </c>
      <c r="J29" t="s">
        <v>15</v>
      </c>
      <c r="K29" t="s">
        <v>13</v>
      </c>
      <c r="L29">
        <f t="shared" si="0"/>
        <v>35.334949494949491</v>
      </c>
      <c r="M29" t="s">
        <v>43</v>
      </c>
      <c r="N29">
        <f t="shared" si="7"/>
        <v>299726.57658875833</v>
      </c>
      <c r="O29">
        <f t="shared" si="1"/>
        <v>8482.4396489260289</v>
      </c>
    </row>
    <row r="30" spans="1:15" x14ac:dyDescent="0.2">
      <c r="A30">
        <v>7</v>
      </c>
      <c r="B30" t="s">
        <v>82</v>
      </c>
      <c r="C30">
        <v>1875</v>
      </c>
      <c r="D30">
        <v>390.38499999999999</v>
      </c>
      <c r="E30">
        <v>731972</v>
      </c>
      <c r="F30">
        <v>356</v>
      </c>
      <c r="G30">
        <v>731972</v>
      </c>
      <c r="H30">
        <v>233.63399999999999</v>
      </c>
      <c r="I30" t="s">
        <v>32</v>
      </c>
      <c r="J30" t="s">
        <v>15</v>
      </c>
      <c r="K30" t="s">
        <v>13</v>
      </c>
      <c r="L30">
        <f t="shared" si="0"/>
        <v>47.198787878787876</v>
      </c>
      <c r="M30" t="s">
        <v>43</v>
      </c>
      <c r="N30">
        <f t="shared" si="7"/>
        <v>217830.2016351468</v>
      </c>
      <c r="O30">
        <f t="shared" si="1"/>
        <v>4615.1651647190765</v>
      </c>
    </row>
    <row r="31" spans="1:15" x14ac:dyDescent="0.2">
      <c r="A31">
        <v>8</v>
      </c>
      <c r="B31" t="s">
        <v>83</v>
      </c>
      <c r="C31">
        <v>1949</v>
      </c>
      <c r="D31">
        <v>401.97300000000001</v>
      </c>
      <c r="E31">
        <v>783445</v>
      </c>
      <c r="F31">
        <v>346</v>
      </c>
      <c r="G31">
        <v>783445</v>
      </c>
      <c r="H31">
        <v>242.69499999999999</v>
      </c>
      <c r="I31" t="s">
        <v>33</v>
      </c>
      <c r="J31" t="s">
        <v>15</v>
      </c>
      <c r="K31" t="s">
        <v>13</v>
      </c>
      <c r="L31">
        <f t="shared" si="0"/>
        <v>49.029292929292929</v>
      </c>
      <c r="M31" t="s">
        <v>43</v>
      </c>
      <c r="N31">
        <f t="shared" si="7"/>
        <v>249011.73865968059</v>
      </c>
      <c r="O31">
        <f t="shared" si="1"/>
        <v>5078.8360137844575</v>
      </c>
    </row>
    <row r="32" spans="1:15" x14ac:dyDescent="0.2">
      <c r="A32">
        <v>9</v>
      </c>
      <c r="B32" t="s">
        <v>84</v>
      </c>
      <c r="C32">
        <v>1207</v>
      </c>
      <c r="D32">
        <v>274.16199999999998</v>
      </c>
      <c r="E32">
        <v>330914</v>
      </c>
      <c r="F32">
        <v>274</v>
      </c>
      <c r="G32">
        <v>330914</v>
      </c>
      <c r="H32">
        <v>150.00299999999999</v>
      </c>
      <c r="I32" t="s">
        <v>14</v>
      </c>
      <c r="K32" t="s">
        <v>13</v>
      </c>
      <c r="L32">
        <f t="shared" si="0"/>
        <v>30.303636363636361</v>
      </c>
      <c r="M32" t="s">
        <v>43</v>
      </c>
      <c r="O32">
        <f t="shared" si="1"/>
        <v>0</v>
      </c>
    </row>
    <row r="33" spans="1:15" x14ac:dyDescent="0.2">
      <c r="A33">
        <v>10</v>
      </c>
      <c r="B33" t="s">
        <v>85</v>
      </c>
      <c r="C33">
        <v>1522</v>
      </c>
      <c r="D33">
        <v>274.26</v>
      </c>
      <c r="E33">
        <v>417424</v>
      </c>
      <c r="F33">
        <v>274</v>
      </c>
      <c r="G33">
        <v>417424</v>
      </c>
      <c r="H33">
        <v>188.86500000000001</v>
      </c>
      <c r="I33" t="s">
        <v>14</v>
      </c>
      <c r="K33" t="s">
        <v>13</v>
      </c>
      <c r="L33">
        <f t="shared" si="0"/>
        <v>38.154545454545456</v>
      </c>
      <c r="M33" t="s">
        <v>43</v>
      </c>
      <c r="O33">
        <f t="shared" si="1"/>
        <v>0</v>
      </c>
    </row>
    <row r="34" spans="1:15" x14ac:dyDescent="0.2">
      <c r="A34">
        <v>11</v>
      </c>
      <c r="B34" t="s">
        <v>86</v>
      </c>
      <c r="C34">
        <v>1718</v>
      </c>
      <c r="D34">
        <v>274.20400000000001</v>
      </c>
      <c r="E34">
        <v>471083</v>
      </c>
      <c r="F34">
        <v>274</v>
      </c>
      <c r="G34">
        <v>471083</v>
      </c>
      <c r="H34">
        <v>213.57499999999999</v>
      </c>
      <c r="I34" t="s">
        <v>14</v>
      </c>
      <c r="K34" t="s">
        <v>13</v>
      </c>
      <c r="L34">
        <f t="shared" si="0"/>
        <v>43.146464646464644</v>
      </c>
      <c r="M34" t="s">
        <v>43</v>
      </c>
      <c r="O34">
        <f t="shared" si="1"/>
        <v>0</v>
      </c>
    </row>
    <row r="35" spans="1:15" x14ac:dyDescent="0.2">
      <c r="A35">
        <v>1</v>
      </c>
      <c r="B35" t="s">
        <v>87</v>
      </c>
      <c r="C35">
        <v>1702</v>
      </c>
      <c r="D35">
        <v>312.80500000000001</v>
      </c>
      <c r="E35">
        <v>532394</v>
      </c>
      <c r="F35">
        <v>297</v>
      </c>
      <c r="G35">
        <v>532394</v>
      </c>
      <c r="H35">
        <v>211.43899999999999</v>
      </c>
      <c r="I35" t="s">
        <v>34</v>
      </c>
      <c r="J35" t="s">
        <v>15</v>
      </c>
      <c r="K35" t="s">
        <v>13</v>
      </c>
      <c r="L35">
        <f t="shared" si="0"/>
        <v>42.714949494949494</v>
      </c>
      <c r="M35" t="s">
        <v>44</v>
      </c>
      <c r="N35">
        <f>G35-(((G$43/C$43*C35)+(G$44/C$44*C35)+(G$45/C$45*C35))/3)</f>
        <v>66847.769805954944</v>
      </c>
      <c r="O35">
        <f t="shared" si="1"/>
        <v>1564.9736356087428</v>
      </c>
    </row>
    <row r="36" spans="1:15" x14ac:dyDescent="0.2">
      <c r="A36">
        <v>2</v>
      </c>
      <c r="B36" t="s">
        <v>88</v>
      </c>
      <c r="C36">
        <v>1468</v>
      </c>
      <c r="D36">
        <v>302.02</v>
      </c>
      <c r="E36">
        <v>443365</v>
      </c>
      <c r="F36">
        <v>289</v>
      </c>
      <c r="G36">
        <v>443365</v>
      </c>
      <c r="H36">
        <v>182.386</v>
      </c>
      <c r="I36" t="s">
        <v>53</v>
      </c>
      <c r="J36" t="s">
        <v>15</v>
      </c>
      <c r="K36" t="s">
        <v>13</v>
      </c>
      <c r="L36">
        <f t="shared" si="0"/>
        <v>36.845656565656562</v>
      </c>
      <c r="M36" t="s">
        <v>44</v>
      </c>
      <c r="N36">
        <f>G36-(((G$43/C$43*C36)+(G$44/C$44*C36)+(G$45/C$45*C36))/3)</f>
        <v>41824.538234513428</v>
      </c>
      <c r="O36">
        <f t="shared" si="1"/>
        <v>1135.1280485390407</v>
      </c>
    </row>
    <row r="37" spans="1:15" x14ac:dyDescent="0.2">
      <c r="A37">
        <v>3</v>
      </c>
      <c r="B37" t="s">
        <v>89</v>
      </c>
      <c r="C37">
        <v>1500</v>
      </c>
      <c r="D37">
        <v>313.17700000000002</v>
      </c>
      <c r="E37">
        <v>469766</v>
      </c>
      <c r="F37">
        <v>296</v>
      </c>
      <c r="G37">
        <v>469766</v>
      </c>
      <c r="H37">
        <v>186.369</v>
      </c>
      <c r="I37" t="s">
        <v>35</v>
      </c>
      <c r="J37" t="s">
        <v>15</v>
      </c>
      <c r="K37" t="s">
        <v>13</v>
      </c>
      <c r="L37">
        <f t="shared" si="0"/>
        <v>37.650303030303029</v>
      </c>
      <c r="M37" t="s">
        <v>44</v>
      </c>
      <c r="N37">
        <f>G37-(((G$43/C$43*C37)+(G$44/C$44*C37)+(G$45/C$45*C37))/3)</f>
        <v>59472.612637445563</v>
      </c>
      <c r="O37">
        <f t="shared" si="1"/>
        <v>1579.6051519048531</v>
      </c>
    </row>
    <row r="38" spans="1:15" x14ac:dyDescent="0.2">
      <c r="A38">
        <v>4</v>
      </c>
      <c r="B38" t="s">
        <v>90</v>
      </c>
      <c r="C38">
        <v>1625</v>
      </c>
      <c r="D38">
        <v>376.32900000000001</v>
      </c>
      <c r="E38">
        <v>611535</v>
      </c>
      <c r="F38">
        <v>347</v>
      </c>
      <c r="G38">
        <v>611535</v>
      </c>
      <c r="H38">
        <v>203.10300000000001</v>
      </c>
      <c r="I38" t="s">
        <v>36</v>
      </c>
      <c r="J38" t="s">
        <v>15</v>
      </c>
      <c r="K38" t="s">
        <v>13</v>
      </c>
      <c r="L38">
        <f t="shared" si="0"/>
        <v>41.030909090909091</v>
      </c>
      <c r="M38" t="s">
        <v>44</v>
      </c>
      <c r="N38">
        <f>G38-(((G$43/C$43*C38)+(G$44/C$44*C38)+(G$45/C$45*C38))/3)</f>
        <v>167050.49702389934</v>
      </c>
      <c r="O38">
        <f t="shared" si="1"/>
        <v>4071.3330687793964</v>
      </c>
    </row>
    <row r="39" spans="1:15" x14ac:dyDescent="0.2">
      <c r="A39">
        <v>5</v>
      </c>
      <c r="B39" t="s">
        <v>91</v>
      </c>
      <c r="C39">
        <v>1650</v>
      </c>
      <c r="D39">
        <v>347.04399999999998</v>
      </c>
      <c r="E39">
        <v>572623</v>
      </c>
      <c r="F39">
        <v>325</v>
      </c>
      <c r="G39">
        <v>572623</v>
      </c>
      <c r="H39">
        <v>205.09100000000001</v>
      </c>
      <c r="I39" t="s">
        <v>37</v>
      </c>
      <c r="J39" t="s">
        <v>15</v>
      </c>
      <c r="K39" t="s">
        <v>13</v>
      </c>
      <c r="L39">
        <f t="shared" si="0"/>
        <v>41.432525252525252</v>
      </c>
      <c r="M39" t="s">
        <v>44</v>
      </c>
      <c r="N39">
        <f>G39-(((G$43/C$43*C39)+(G$44/C$44*C39)+(G$45/C$45*C39))/3)</f>
        <v>121300.27390119014</v>
      </c>
      <c r="O39">
        <f t="shared" si="1"/>
        <v>2927.6582385911192</v>
      </c>
    </row>
    <row r="40" spans="1:15" x14ac:dyDescent="0.2">
      <c r="A40">
        <v>6</v>
      </c>
      <c r="B40" t="s">
        <v>92</v>
      </c>
      <c r="C40">
        <v>1930</v>
      </c>
      <c r="D40">
        <v>373.91199999999998</v>
      </c>
      <c r="E40">
        <v>721651</v>
      </c>
      <c r="F40">
        <v>346</v>
      </c>
      <c r="G40">
        <v>721651</v>
      </c>
      <c r="H40">
        <v>241.351</v>
      </c>
      <c r="I40" t="s">
        <v>38</v>
      </c>
      <c r="J40" t="s">
        <v>15</v>
      </c>
      <c r="K40" t="s">
        <v>13</v>
      </c>
      <c r="L40">
        <f t="shared" si="0"/>
        <v>48.757777777777775</v>
      </c>
      <c r="M40" t="s">
        <v>44</v>
      </c>
      <c r="N40">
        <f t="shared" ref="N40" si="8">G40-(((G$43/C$43*C40)+(G$44/C$44*C40)+(G$45/C$45*C40))/3)</f>
        <v>193740.17492684664</v>
      </c>
      <c r="O40">
        <f t="shared" si="1"/>
        <v>3973.5234819325005</v>
      </c>
    </row>
    <row r="41" spans="1:15" x14ac:dyDescent="0.2">
      <c r="A41">
        <v>7</v>
      </c>
      <c r="B41" t="s">
        <v>93</v>
      </c>
      <c r="C41">
        <v>2050</v>
      </c>
      <c r="D41">
        <v>394.17099999999999</v>
      </c>
      <c r="E41">
        <v>808051</v>
      </c>
      <c r="F41">
        <v>345</v>
      </c>
      <c r="G41">
        <v>808051</v>
      </c>
      <c r="H41">
        <v>255.87799999999999</v>
      </c>
      <c r="I41" t="s">
        <v>39</v>
      </c>
      <c r="J41" t="s">
        <v>15</v>
      </c>
      <c r="K41" t="s">
        <v>13</v>
      </c>
      <c r="L41">
        <f t="shared" si="0"/>
        <v>51.69252525252525</v>
      </c>
      <c r="M41" t="s">
        <v>44</v>
      </c>
      <c r="N41">
        <f>G41-(((G$43/C$43*C41)+(G$44/C$44*C41)+(G$45/C$45*C41))/3)</f>
        <v>247316.70393784239</v>
      </c>
      <c r="O41">
        <f t="shared" si="1"/>
        <v>4784.3803863259827</v>
      </c>
    </row>
    <row r="42" spans="1:15" x14ac:dyDescent="0.2">
      <c r="A42">
        <v>8</v>
      </c>
      <c r="B42" t="s">
        <v>94</v>
      </c>
      <c r="C42">
        <v>1855</v>
      </c>
      <c r="D42">
        <v>354.50700000000001</v>
      </c>
      <c r="E42">
        <v>657610</v>
      </c>
      <c r="F42">
        <v>321</v>
      </c>
      <c r="G42">
        <v>657610</v>
      </c>
      <c r="H42">
        <v>231.55500000000001</v>
      </c>
      <c r="I42" t="s">
        <v>40</v>
      </c>
      <c r="J42" t="s">
        <v>15</v>
      </c>
      <c r="K42" t="s">
        <v>13</v>
      </c>
      <c r="L42">
        <f t="shared" ref="L42" si="9">H42/4.95</f>
        <v>46.778787878787881</v>
      </c>
      <c r="M42" t="s">
        <v>44</v>
      </c>
      <c r="N42">
        <f>G42-(((G$43/C$43*C42)+(G$44/C$44*C42)+(G$45/C$45*C42))/3)</f>
        <v>150213.84429497435</v>
      </c>
      <c r="O42">
        <f t="shared" ref="O42" si="10">N42/L42</f>
        <v>3211.1529842159443</v>
      </c>
    </row>
    <row r="43" spans="1:15" x14ac:dyDescent="0.2">
      <c r="A43">
        <v>9</v>
      </c>
      <c r="B43" t="s">
        <v>95</v>
      </c>
      <c r="C43">
        <v>1662</v>
      </c>
      <c r="D43">
        <v>273.803</v>
      </c>
      <c r="E43">
        <v>455060</v>
      </c>
      <c r="F43">
        <v>274</v>
      </c>
      <c r="G43">
        <v>455060</v>
      </c>
      <c r="H43">
        <v>207.04</v>
      </c>
      <c r="I43" t="s">
        <v>14</v>
      </c>
      <c r="K43" t="s">
        <v>13</v>
      </c>
      <c r="L43">
        <f t="shared" si="0"/>
        <v>41.826262626262626</v>
      </c>
      <c r="M43" t="s">
        <v>44</v>
      </c>
      <c r="O43">
        <f t="shared" si="1"/>
        <v>0</v>
      </c>
    </row>
    <row r="44" spans="1:15" x14ac:dyDescent="0.2">
      <c r="A44">
        <v>10</v>
      </c>
      <c r="B44" t="s">
        <v>96</v>
      </c>
      <c r="C44">
        <v>1512</v>
      </c>
      <c r="D44">
        <v>273.64999999999998</v>
      </c>
      <c r="E44">
        <v>413759</v>
      </c>
      <c r="F44">
        <v>274</v>
      </c>
      <c r="G44">
        <v>413759</v>
      </c>
      <c r="H44">
        <v>187.76</v>
      </c>
      <c r="I44" t="s">
        <v>14</v>
      </c>
      <c r="K44" t="s">
        <v>13</v>
      </c>
      <c r="L44">
        <f t="shared" si="0"/>
        <v>37.931313131313125</v>
      </c>
      <c r="M44" t="s">
        <v>44</v>
      </c>
      <c r="O44">
        <f t="shared" si="1"/>
        <v>0</v>
      </c>
    </row>
    <row r="45" spans="1:15" x14ac:dyDescent="0.2">
      <c r="A45">
        <v>11</v>
      </c>
      <c r="B45" t="s">
        <v>97</v>
      </c>
      <c r="C45">
        <v>1612</v>
      </c>
      <c r="D45">
        <v>273.13400000000001</v>
      </c>
      <c r="E45">
        <v>440292</v>
      </c>
      <c r="F45">
        <v>273</v>
      </c>
      <c r="G45">
        <v>440292</v>
      </c>
      <c r="H45">
        <v>200.97900000000001</v>
      </c>
      <c r="I45" t="s">
        <v>14</v>
      </c>
      <c r="K45" t="s">
        <v>13</v>
      </c>
      <c r="L45">
        <f t="shared" si="0"/>
        <v>40.601818181818182</v>
      </c>
      <c r="M45" t="s">
        <v>44</v>
      </c>
      <c r="O45">
        <f t="shared" si="1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2024-02-07T12:58:17Z</dcterms:modified>
</cp:coreProperties>
</file>