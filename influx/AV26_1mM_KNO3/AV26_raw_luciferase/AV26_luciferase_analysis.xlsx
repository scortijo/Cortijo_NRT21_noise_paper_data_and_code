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filterPrivacy="1"/>
  <xr:revisionPtr revIDLastSave="0" documentId="13_ncr:1_{5C5D668A-1AFD-5547-96AB-75184CD98116}" xr6:coauthVersionLast="36" xr6:coauthVersionMax="36" xr10:uidLastSave="{00000000-0000-0000-0000-000000000000}"/>
  <bookViews>
    <workbookView xWindow="35540" yWindow="-80" windowWidth="27940" windowHeight="1928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1" l="1"/>
  <c r="N22" i="1"/>
  <c r="L2" i="1"/>
  <c r="N2" i="1"/>
  <c r="L3" i="1"/>
  <c r="N3" i="1"/>
  <c r="O3" i="1" s="1"/>
  <c r="O22" i="1" l="1"/>
  <c r="O2" i="1"/>
  <c r="N33" i="1"/>
  <c r="N32" i="1"/>
  <c r="N31" i="1"/>
  <c r="L31" i="1"/>
  <c r="O31" i="1" l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3" i="1"/>
  <c r="L24" i="1"/>
  <c r="L25" i="1"/>
  <c r="L26" i="1"/>
  <c r="L27" i="1"/>
  <c r="L28" i="1"/>
  <c r="L29" i="1"/>
  <c r="L30" i="1"/>
  <c r="L32" i="1"/>
  <c r="L33" i="1"/>
  <c r="L34" i="1"/>
  <c r="L35" i="1"/>
  <c r="L36" i="1"/>
  <c r="L37" i="1"/>
  <c r="L38" i="1"/>
  <c r="L39" i="1"/>
  <c r="L40" i="1"/>
  <c r="N25" i="1" l="1"/>
  <c r="O25" i="1" s="1"/>
  <c r="N26" i="1"/>
  <c r="N11" i="1"/>
  <c r="O11" i="1" s="1"/>
  <c r="N36" i="1"/>
  <c r="N35" i="1"/>
  <c r="N21" i="1"/>
  <c r="N20" i="1"/>
  <c r="O26" i="1" l="1"/>
  <c r="N34" i="1"/>
  <c r="N5" i="1" l="1"/>
  <c r="N12" i="1"/>
  <c r="N30" i="1" l="1"/>
  <c r="N19" i="1"/>
  <c r="N37" i="1" l="1"/>
  <c r="N15" i="1"/>
  <c r="N23" i="1"/>
  <c r="N24" i="1"/>
  <c r="N13" i="1"/>
  <c r="N14" i="1"/>
  <c r="N4" i="1"/>
  <c r="N6" i="1"/>
  <c r="N7" i="1"/>
  <c r="O5" i="1"/>
  <c r="O19" i="1"/>
  <c r="O30" i="1"/>
  <c r="O32" i="1"/>
  <c r="O35" i="1" l="1"/>
  <c r="O6" i="1"/>
  <c r="O21" i="1"/>
  <c r="O15" i="1"/>
  <c r="O24" i="1"/>
  <c r="O36" i="1"/>
  <c r="O34" i="1"/>
  <c r="O33" i="1"/>
  <c r="O37" i="1"/>
  <c r="O23" i="1"/>
  <c r="O20" i="1"/>
  <c r="O13" i="1"/>
  <c r="O12" i="1"/>
  <c r="O14" i="1"/>
  <c r="O4" i="1"/>
  <c r="O7" i="1"/>
</calcChain>
</file>

<file path=xl/sharedStrings.xml><?xml version="1.0" encoding="utf-8"?>
<sst xmlns="http://schemas.openxmlformats.org/spreadsheetml/2006/main" count="198" uniqueCount="88">
  <si>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</si>
  <si>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</si>
  <si>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</si>
  <si>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</si>
  <si>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</si>
  <si>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</si>
  <si>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</si>
  <si>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</si>
  <si>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</si>
  <si>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</si>
  <si>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</si>
  <si>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</si>
  <si>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</si>
  <si>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</si>
  <si>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number</t>
  </si>
  <si>
    <t>plate5</t>
  </si>
  <si>
    <t>plate6</t>
  </si>
  <si>
    <t>plate7</t>
  </si>
  <si>
    <t>plate8</t>
  </si>
  <si>
    <t>1mM</t>
  </si>
  <si>
    <t>background</t>
  </si>
  <si>
    <t>seedling37</t>
  </si>
  <si>
    <t>seedling38</t>
  </si>
  <si>
    <t>seedling39</t>
  </si>
  <si>
    <t>seedling40</t>
  </si>
  <si>
    <t>seedling44</t>
  </si>
  <si>
    <t>seedling45</t>
  </si>
  <si>
    <t>seedling46</t>
  </si>
  <si>
    <t>seedling47</t>
  </si>
  <si>
    <t>seedling48</t>
  </si>
  <si>
    <t>seedling49</t>
  </si>
  <si>
    <t>seedling50</t>
  </si>
  <si>
    <t>seedling51</t>
  </si>
  <si>
    <t>seedling53</t>
  </si>
  <si>
    <t>seedling54</t>
  </si>
  <si>
    <t>seedling55</t>
  </si>
  <si>
    <t>seedling56</t>
  </si>
  <si>
    <t>seedling57</t>
  </si>
  <si>
    <t>seedling59</t>
  </si>
  <si>
    <t>seedling60</t>
  </si>
  <si>
    <t>seedling61</t>
  </si>
  <si>
    <t>seedling62</t>
  </si>
  <si>
    <t>seedling63</t>
  </si>
  <si>
    <t>seedling64</t>
  </si>
  <si>
    <t>pNRT2.1:LUC</t>
  </si>
  <si>
    <t>seedling58</t>
  </si>
  <si>
    <t>seedling34</t>
  </si>
  <si>
    <t>seedling35</t>
  </si>
  <si>
    <t>20230413_pNRT21_rep4_1mM_N5_luc.tif:0146-0109</t>
  </si>
  <si>
    <t>20230413_pNRT21_rep4_1mM_N5_luc.tif:0149-0151</t>
  </si>
  <si>
    <t>20230413_pNRT21_rep4_1mM_N5_luc.tif:0141-0258</t>
  </si>
  <si>
    <t>20230413_pNRT21_rep4_1mM_N5_luc.tif:0140-0314</t>
  </si>
  <si>
    <t>20230413_pNRT21_rep4_1mM_N5_luc.tif:0143-0362</t>
  </si>
  <si>
    <t>20230413_pNRT21_rep4_1mM_N5_luc.tif:0143-0419</t>
  </si>
  <si>
    <t>20230413_pNRT21_rep4_1mM_N5_luc.tif:0378-0402</t>
  </si>
  <si>
    <t>20230413_pNRT21_rep4_1mM_N5_luc.tif:0404-0298</t>
  </si>
  <si>
    <t>20230413_pNRT21_rep4_1mM_N5_luc.tif:0382-0202</t>
  </si>
  <si>
    <t>20230413_pNRT21_rep4_1mM_N6_luc.tif:0176-0227</t>
  </si>
  <si>
    <t>20230413_pNRT21_rep4_1mM_N6_luc.tif:0181-0267</t>
  </si>
  <si>
    <t>20230413_pNRT21_rep4_1mM_N6_luc.tif:0189-0331</t>
  </si>
  <si>
    <t>20230413_pNRT21_rep4_1mM_N6_luc.tif:0180-0381</t>
  </si>
  <si>
    <t>20230413_pNRT21_rep4_1mM_N6_luc.tif:0213-0422</t>
  </si>
  <si>
    <t>20230413_pNRT21_rep4_1mM_N6_luc.tif:0376-0451</t>
  </si>
  <si>
    <t>20230413_pNRT21_rep4_1mM_N6_luc.tif:0371-0354</t>
  </si>
  <si>
    <t>20230413_pNRT21_rep4_1mM_N6_luc.tif:0389-0264</t>
  </si>
  <si>
    <t>seedling52</t>
  </si>
  <si>
    <t>20230413_pNRT21_rep4_1mM_N7_luc.tif:0189-0073</t>
  </si>
  <si>
    <t>20230413_pNRT21_rep4_1mM_N7_luc.tif:0204-0107</t>
  </si>
  <si>
    <t>20230413_pNRT21_rep4_1mM_N7_luc.tif:0162-0177</t>
  </si>
  <si>
    <t>20230413_pNRT21_rep4_1mM_N7_luc.tif:0154-0222</t>
  </si>
  <si>
    <t>20230413_pNRT21_rep4_1mM_N7_luc.tif:0159-0278</t>
  </si>
  <si>
    <t>20230413_pNRT21_rep4_1mM_N7_luc.tif:0147-0332</t>
  </si>
  <si>
    <t>20230413_pNRT21_rep4_1mM_N7_luc.tif:0185-0372</t>
  </si>
  <si>
    <t>20230413_pNRT21_rep4_1mM_N7_luc.tif:0192-0421</t>
  </si>
  <si>
    <t>20230413_pNRT21_rep4_1mM_N7_luc.tif:0392-0436</t>
  </si>
  <si>
    <t>20230413_pNRT21_rep4_1mM_N7_luc.tif:0411-0363</t>
  </si>
  <si>
    <t>20230413_pNRT21_rep4_1mM_N7_luc.tif:0405-0209</t>
  </si>
  <si>
    <t>20230413_pNRT21_rep4_1mM_N8_luc.tif:0146-0071</t>
  </si>
  <si>
    <t>20230413_pNRT21_rep4_1mM_N8_luc.tif:0168-0118</t>
  </si>
  <si>
    <t>20230413_pNRT21_rep4_1mM_N8_luc.tif:0163-0179</t>
  </si>
  <si>
    <t>20230413_pNRT21_rep4_1mM_N8_luc.tif:0192-0239</t>
  </si>
  <si>
    <t>20230413_pNRT21_rep4_1mM_N8_luc.tif:0179-0286</t>
  </si>
  <si>
    <t>20230413_pNRT21_rep4_1mM_N8_luc.tif:0172-0330</t>
  </si>
  <si>
    <t>20230413_pNRT21_rep4_1mM_N8_luc.tif:0167-0385</t>
  </si>
  <si>
    <t>20230413_pNRT21_rep4_1mM_N8_luc.tif:0157-0440</t>
  </si>
  <si>
    <t>20230413_pNRT21_rep4_1mM_N8_luc.tif:0391-0417</t>
  </si>
  <si>
    <t>20230413_pNRT21_rep4_1mM_N8_luc.tif:0402-0349</t>
  </si>
  <si>
    <t>20230413_pNRT21_rep4_1mM_N8_luc.tif:0413-0175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</si>
</sst>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0" zoomScaleNormal="80" workbookViewId="0">
      <selection activeCell="O47" sqref="O47"/>
    </sheetView>
  </sheetViews>
  <sheetFormatPr baseColWidth="10" defaultColWidth="9.1640625" defaultRowHeight="15" x14ac:dyDescent="0.2"/>
  <cols>
    <col min="2" max="2" width="35.5" customWidth="1"/>
    <col min="7" max="7" width="13.5" customWidth="1"/>
    <col min="8" max="8" width="11.83203125" customWidth="1"/>
    <col min="9" max="9" width="13.6640625" customWidth="1"/>
    <col min="10" max="10" width="21.33203125" customWidth="1"/>
    <col min="11" max="11" width="11.5" customWidth="1"/>
    <col min="12" max="12" width="14.33203125" customWidth="1"/>
    <col min="13" max="13" width="21.1640625" customWidth="1"/>
    <col min="14" max="14" width="28" customWidth="1"/>
    <col min="15" max="15" width="34.83203125" customWidth="1"/>
  </cols>
  <sheetData>
    <row r="1" spans="1:15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t="s">
        <v>12</v>
      </c>
    </row>
    <row r="2" spans="1:15" x14ac:dyDescent="0.2">
      <c r="A2">
        <v>2</v>
      </c>
      <c r="B2" t="s">
        <v>48</v>
      </c>
      <c r="C2">
        <v>996</v>
      </c>
      <c r="D2">
        <v>328.12</v>
      </c>
      <c r="E2">
        <v>326808</v>
      </c>
      <c r="F2">
        <v>304</v>
      </c>
      <c r="G2">
        <v>326808</v>
      </c>
      <c r="H2">
        <v>124.367</v>
      </c>
      <c r="I2" t="s">
        <v>46</v>
      </c>
      <c r="J2" t="s">
        <v>44</v>
      </c>
      <c r="K2" t="s">
        <v>19</v>
      </c>
      <c r="L2">
        <f t="shared" ref="L2:L3" si="0">H2/4.95</f>
        <v>25.124646464646464</v>
      </c>
      <c r="M2" t="s">
        <v>15</v>
      </c>
      <c r="N2">
        <f t="shared" ref="N2:N7" si="1">G2-(((G$8/C$8*C2)+(G$9/C$9*C2)+(G$10/C$10*C2))/3)</f>
        <v>43316.958656487521</v>
      </c>
      <c r="O2">
        <f t="shared" ref="O2:O17" si="2">N2/L2</f>
        <v>1724.0823156433237</v>
      </c>
    </row>
    <row r="3" spans="1:15" x14ac:dyDescent="0.2">
      <c r="A3">
        <v>3</v>
      </c>
      <c r="B3" t="s">
        <v>49</v>
      </c>
      <c r="C3">
        <v>1037</v>
      </c>
      <c r="D3">
        <v>333.53800000000001</v>
      </c>
      <c r="E3">
        <v>345879</v>
      </c>
      <c r="F3">
        <v>309</v>
      </c>
      <c r="G3">
        <v>345879</v>
      </c>
      <c r="H3">
        <v>128.024</v>
      </c>
      <c r="I3" t="s">
        <v>47</v>
      </c>
      <c r="J3" t="s">
        <v>44</v>
      </c>
      <c r="K3" t="s">
        <v>19</v>
      </c>
      <c r="L3">
        <f t="shared" si="0"/>
        <v>25.863434343434342</v>
      </c>
      <c r="M3" t="s">
        <v>15</v>
      </c>
      <c r="N3">
        <f t="shared" si="1"/>
        <v>50718.146713632101</v>
      </c>
      <c r="O3">
        <f t="shared" si="2"/>
        <v>1960.9981427894684</v>
      </c>
    </row>
    <row r="4" spans="1:15" x14ac:dyDescent="0.2">
      <c r="A4">
        <v>5</v>
      </c>
      <c r="B4" t="s">
        <v>50</v>
      </c>
      <c r="C4">
        <v>1031</v>
      </c>
      <c r="D4">
        <v>337.26499999999999</v>
      </c>
      <c r="E4">
        <v>347720</v>
      </c>
      <c r="F4">
        <v>316</v>
      </c>
      <c r="G4">
        <v>347720</v>
      </c>
      <c r="H4">
        <v>127.869</v>
      </c>
      <c r="I4" t="s">
        <v>21</v>
      </c>
      <c r="J4" t="s">
        <v>44</v>
      </c>
      <c r="K4" t="s">
        <v>19</v>
      </c>
      <c r="L4">
        <f t="shared" ref="L4:L10" si="3">H4/4.95</f>
        <v>25.832121212121212</v>
      </c>
      <c r="M4" t="s">
        <v>15</v>
      </c>
      <c r="N4">
        <f t="shared" si="1"/>
        <v>54266.924071123125</v>
      </c>
      <c r="O4">
        <f t="shared" si="2"/>
        <v>2100.7536944220997</v>
      </c>
    </row>
    <row r="5" spans="1:15" x14ac:dyDescent="0.2">
      <c r="A5">
        <v>6</v>
      </c>
      <c r="B5" t="s">
        <v>51</v>
      </c>
      <c r="C5">
        <v>897</v>
      </c>
      <c r="D5">
        <v>311.154</v>
      </c>
      <c r="E5">
        <v>279105</v>
      </c>
      <c r="F5">
        <v>299</v>
      </c>
      <c r="G5">
        <v>279105</v>
      </c>
      <c r="H5">
        <v>111.682</v>
      </c>
      <c r="I5" t="s">
        <v>22</v>
      </c>
      <c r="J5" t="s">
        <v>44</v>
      </c>
      <c r="K5" t="s">
        <v>19</v>
      </c>
      <c r="L5">
        <f t="shared" si="3"/>
        <v>22.5620202020202</v>
      </c>
      <c r="M5" t="s">
        <v>15</v>
      </c>
      <c r="N5">
        <f t="shared" si="1"/>
        <v>23792.285055089655</v>
      </c>
      <c r="O5">
        <f t="shared" si="2"/>
        <v>1054.5281336535324</v>
      </c>
    </row>
    <row r="6" spans="1:15" x14ac:dyDescent="0.2">
      <c r="A6">
        <v>7</v>
      </c>
      <c r="B6" t="s">
        <v>52</v>
      </c>
      <c r="C6">
        <v>1038</v>
      </c>
      <c r="D6">
        <v>334.68799999999999</v>
      </c>
      <c r="E6">
        <v>347406</v>
      </c>
      <c r="F6">
        <v>306</v>
      </c>
      <c r="G6">
        <v>347406</v>
      </c>
      <c r="H6">
        <v>128.601</v>
      </c>
      <c r="I6" t="s">
        <v>23</v>
      </c>
      <c r="J6" t="s">
        <v>44</v>
      </c>
      <c r="K6" t="s">
        <v>19</v>
      </c>
      <c r="L6">
        <f t="shared" si="3"/>
        <v>25.98</v>
      </c>
      <c r="M6" t="s">
        <v>15</v>
      </c>
      <c r="N6">
        <f t="shared" si="1"/>
        <v>51960.517154050234</v>
      </c>
      <c r="O6">
        <f t="shared" si="2"/>
        <v>2000.019905852588</v>
      </c>
    </row>
    <row r="7" spans="1:15" x14ac:dyDescent="0.2">
      <c r="A7">
        <v>8</v>
      </c>
      <c r="B7" t="s">
        <v>53</v>
      </c>
      <c r="C7">
        <v>1096</v>
      </c>
      <c r="D7">
        <v>315.64699999999999</v>
      </c>
      <c r="E7">
        <v>345949</v>
      </c>
      <c r="F7">
        <v>295</v>
      </c>
      <c r="G7">
        <v>345949</v>
      </c>
      <c r="H7">
        <v>135.52699999999999</v>
      </c>
      <c r="I7" t="s">
        <v>24</v>
      </c>
      <c r="J7" t="s">
        <v>44</v>
      </c>
      <c r="K7" t="s">
        <v>19</v>
      </c>
      <c r="L7">
        <f t="shared" si="3"/>
        <v>27.379191919191914</v>
      </c>
      <c r="M7" t="s">
        <v>15</v>
      </c>
      <c r="N7">
        <f t="shared" si="1"/>
        <v>33995.002698303491</v>
      </c>
      <c r="O7">
        <f t="shared" si="2"/>
        <v>1241.6364514569223</v>
      </c>
    </row>
    <row r="8" spans="1:15" x14ac:dyDescent="0.2">
      <c r="A8">
        <v>9</v>
      </c>
      <c r="B8" t="s">
        <v>54</v>
      </c>
      <c r="C8">
        <v>1275</v>
      </c>
      <c r="D8">
        <v>284.84199999999998</v>
      </c>
      <c r="E8">
        <v>363174</v>
      </c>
      <c r="F8">
        <v>285</v>
      </c>
      <c r="G8">
        <v>363174</v>
      </c>
      <c r="H8">
        <v>158.91</v>
      </c>
      <c r="I8" t="s">
        <v>20</v>
      </c>
      <c r="K8" t="s">
        <v>19</v>
      </c>
      <c r="L8">
        <f t="shared" si="3"/>
        <v>32.103030303030302</v>
      </c>
      <c r="M8" t="s">
        <v>15</v>
      </c>
    </row>
    <row r="9" spans="1:15" x14ac:dyDescent="0.2">
      <c r="A9">
        <v>10</v>
      </c>
      <c r="B9" t="s">
        <v>55</v>
      </c>
      <c r="C9">
        <v>1124</v>
      </c>
      <c r="D9">
        <v>284.44299999999998</v>
      </c>
      <c r="E9">
        <v>319714</v>
      </c>
      <c r="F9">
        <v>284</v>
      </c>
      <c r="G9">
        <v>319714</v>
      </c>
      <c r="H9">
        <v>140.28800000000001</v>
      </c>
      <c r="I9" t="s">
        <v>20</v>
      </c>
      <c r="K9" t="s">
        <v>19</v>
      </c>
      <c r="L9">
        <f t="shared" si="3"/>
        <v>28.341010101010102</v>
      </c>
      <c r="M9" t="s">
        <v>15</v>
      </c>
    </row>
    <row r="10" spans="1:15" x14ac:dyDescent="0.2">
      <c r="A10">
        <v>11</v>
      </c>
      <c r="B10" t="s">
        <v>56</v>
      </c>
      <c r="C10">
        <v>1225</v>
      </c>
      <c r="D10">
        <v>284.60300000000001</v>
      </c>
      <c r="E10">
        <v>348639</v>
      </c>
      <c r="F10">
        <v>285</v>
      </c>
      <c r="G10">
        <v>348639</v>
      </c>
      <c r="H10">
        <v>151.923</v>
      </c>
      <c r="I10" t="s">
        <v>20</v>
      </c>
      <c r="K10" t="s">
        <v>19</v>
      </c>
      <c r="L10">
        <f t="shared" si="3"/>
        <v>30.691515151515151</v>
      </c>
      <c r="M10" t="s">
        <v>15</v>
      </c>
    </row>
    <row r="11" spans="1:15" x14ac:dyDescent="0.2">
      <c r="A11">
        <v>4</v>
      </c>
      <c r="B11" t="s">
        <v>57</v>
      </c>
      <c r="C11">
        <v>1085</v>
      </c>
      <c r="D11">
        <v>330.43700000000001</v>
      </c>
      <c r="E11">
        <v>358524</v>
      </c>
      <c r="F11">
        <v>310</v>
      </c>
      <c r="G11">
        <v>358524</v>
      </c>
      <c r="H11">
        <v>134.86500000000001</v>
      </c>
      <c r="I11" t="s">
        <v>25</v>
      </c>
      <c r="J11" t="s">
        <v>44</v>
      </c>
      <c r="K11" t="s">
        <v>19</v>
      </c>
      <c r="L11">
        <f t="shared" ref="L11:L29" si="4">H11/4.95</f>
        <v>27.245454545454546</v>
      </c>
      <c r="M11" t="s">
        <v>16</v>
      </c>
      <c r="N11">
        <f>G11-(((G$16/C$16*C11)+(G$17/C$17*C11)+(G$18/C$18*C11))/3)</f>
        <v>49843.305762416159</v>
      </c>
      <c r="O11">
        <f>N11/L11</f>
        <v>1829.4172952505096</v>
      </c>
    </row>
    <row r="12" spans="1:15" x14ac:dyDescent="0.2">
      <c r="A12">
        <v>5</v>
      </c>
      <c r="B12" t="s">
        <v>58</v>
      </c>
      <c r="C12">
        <v>1232</v>
      </c>
      <c r="D12">
        <v>310.26100000000002</v>
      </c>
      <c r="E12">
        <v>382242</v>
      </c>
      <c r="F12">
        <v>297</v>
      </c>
      <c r="G12">
        <v>382242</v>
      </c>
      <c r="H12">
        <v>153.25200000000001</v>
      </c>
      <c r="I12" t="s">
        <v>26</v>
      </c>
      <c r="J12" t="s">
        <v>44</v>
      </c>
      <c r="K12" t="s">
        <v>19</v>
      </c>
      <c r="L12">
        <f t="shared" si="4"/>
        <v>30.96</v>
      </c>
      <c r="M12" t="s">
        <v>16</v>
      </c>
      <c r="N12">
        <f>G12-(((G$16/C$16*C12)+(G$17/C$17*C12)+(G$18/C$18*C12))/3)</f>
        <v>31740.050414098368</v>
      </c>
      <c r="O12">
        <f t="shared" si="2"/>
        <v>1025.1954268119628</v>
      </c>
    </row>
    <row r="13" spans="1:15" x14ac:dyDescent="0.2">
      <c r="A13">
        <v>6</v>
      </c>
      <c r="B13" t="s">
        <v>59</v>
      </c>
      <c r="C13">
        <v>1293</v>
      </c>
      <c r="D13">
        <v>311.23</v>
      </c>
      <c r="E13">
        <v>402421</v>
      </c>
      <c r="F13">
        <v>297</v>
      </c>
      <c r="G13">
        <v>402421</v>
      </c>
      <c r="H13">
        <v>160.36099999999999</v>
      </c>
      <c r="I13" t="s">
        <v>27</v>
      </c>
      <c r="J13" t="s">
        <v>44</v>
      </c>
      <c r="K13" t="s">
        <v>19</v>
      </c>
      <c r="L13">
        <f t="shared" si="4"/>
        <v>32.396161616161613</v>
      </c>
      <c r="M13" t="s">
        <v>16</v>
      </c>
      <c r="N13">
        <f>G13-(((G$16/C$16*C13)+(G$17/C$17*C13)+(G$18/C$18*C13))/3)</f>
        <v>34564.651936224953</v>
      </c>
      <c r="O13">
        <f t="shared" si="2"/>
        <v>1066.9366434751189</v>
      </c>
    </row>
    <row r="14" spans="1:15" x14ac:dyDescent="0.2">
      <c r="A14">
        <v>7</v>
      </c>
      <c r="B14" t="s">
        <v>60</v>
      </c>
      <c r="C14">
        <v>1300</v>
      </c>
      <c r="D14">
        <v>313.10000000000002</v>
      </c>
      <c r="E14">
        <v>407030</v>
      </c>
      <c r="F14">
        <v>299</v>
      </c>
      <c r="G14">
        <v>407030</v>
      </c>
      <c r="H14">
        <v>162.52699999999999</v>
      </c>
      <c r="I14" t="s">
        <v>28</v>
      </c>
      <c r="J14" t="s">
        <v>44</v>
      </c>
      <c r="K14" t="s">
        <v>19</v>
      </c>
      <c r="L14">
        <f t="shared" si="4"/>
        <v>32.833737373737371</v>
      </c>
      <c r="M14" t="s">
        <v>16</v>
      </c>
      <c r="N14">
        <f>G14-(((G$16/C$16*C14)+(G$17/C$17*C14)+(G$18/C$18*C14))/3)</f>
        <v>37182.163586305163</v>
      </c>
      <c r="O14">
        <f t="shared" si="2"/>
        <v>1132.4377472802094</v>
      </c>
    </row>
    <row r="15" spans="1:15" x14ac:dyDescent="0.2">
      <c r="A15">
        <v>8</v>
      </c>
      <c r="B15" t="s">
        <v>61</v>
      </c>
      <c r="C15">
        <v>1791</v>
      </c>
      <c r="D15">
        <v>372.58499999999998</v>
      </c>
      <c r="E15">
        <v>667299</v>
      </c>
      <c r="F15">
        <v>331</v>
      </c>
      <c r="G15">
        <v>667299</v>
      </c>
      <c r="H15">
        <v>223.80500000000001</v>
      </c>
      <c r="I15" t="s">
        <v>29</v>
      </c>
      <c r="J15" t="s">
        <v>44</v>
      </c>
      <c r="K15" t="s">
        <v>19</v>
      </c>
      <c r="L15">
        <f t="shared" si="4"/>
        <v>45.213131313131314</v>
      </c>
      <c r="M15" t="s">
        <v>16</v>
      </c>
      <c r="N15">
        <f>G15-(((G$16/C$16*C15)+(G$17/C$17*C15)+(G$18/C$18*C15))/3)</f>
        <v>157762.48075620952</v>
      </c>
      <c r="O15">
        <f t="shared" si="2"/>
        <v>3489.3066720727293</v>
      </c>
    </row>
    <row r="16" spans="1:15" x14ac:dyDescent="0.2">
      <c r="A16">
        <v>9</v>
      </c>
      <c r="B16" t="s">
        <v>62</v>
      </c>
      <c r="C16">
        <v>1539</v>
      </c>
      <c r="D16">
        <v>284.68200000000002</v>
      </c>
      <c r="E16">
        <v>438125</v>
      </c>
      <c r="F16">
        <v>285</v>
      </c>
      <c r="G16">
        <v>438125</v>
      </c>
      <c r="H16">
        <v>191.48</v>
      </c>
      <c r="I16" t="s">
        <v>20</v>
      </c>
      <c r="K16" t="s">
        <v>19</v>
      </c>
      <c r="L16">
        <f t="shared" si="4"/>
        <v>38.682828282828282</v>
      </c>
      <c r="M16" t="s">
        <v>16</v>
      </c>
    </row>
    <row r="17" spans="1:15" x14ac:dyDescent="0.2">
      <c r="A17">
        <v>10</v>
      </c>
      <c r="B17" t="s">
        <v>63</v>
      </c>
      <c r="C17">
        <v>1243</v>
      </c>
      <c r="D17">
        <v>284.50900000000001</v>
      </c>
      <c r="E17">
        <v>353645</v>
      </c>
      <c r="F17">
        <v>284</v>
      </c>
      <c r="G17">
        <v>353645</v>
      </c>
      <c r="H17">
        <v>154.68799999999999</v>
      </c>
      <c r="I17" t="s">
        <v>20</v>
      </c>
      <c r="K17" t="s">
        <v>19</v>
      </c>
      <c r="L17">
        <f t="shared" si="4"/>
        <v>31.250101010101005</v>
      </c>
      <c r="M17" t="s">
        <v>16</v>
      </c>
    </row>
    <row r="18" spans="1:15" x14ac:dyDescent="0.2">
      <c r="A18">
        <v>11</v>
      </c>
      <c r="B18" t="s">
        <v>64</v>
      </c>
      <c r="C18">
        <v>1279</v>
      </c>
      <c r="D18">
        <v>284.30399999999997</v>
      </c>
      <c r="E18">
        <v>363625</v>
      </c>
      <c r="F18">
        <v>284</v>
      </c>
      <c r="G18">
        <v>363625</v>
      </c>
      <c r="H18">
        <v>158.64599999999999</v>
      </c>
      <c r="I18" t="s">
        <v>20</v>
      </c>
      <c r="K18" t="s">
        <v>19</v>
      </c>
      <c r="L18">
        <f t="shared" si="4"/>
        <v>32.049696969696967</v>
      </c>
      <c r="M18" t="s">
        <v>16</v>
      </c>
    </row>
    <row r="19" spans="1:15" x14ac:dyDescent="0.2">
      <c r="A19">
        <v>1</v>
      </c>
      <c r="B19" t="s">
        <v>66</v>
      </c>
      <c r="C19">
        <v>1665</v>
      </c>
      <c r="D19">
        <v>338.75299999999999</v>
      </c>
      <c r="E19">
        <v>564024</v>
      </c>
      <c r="F19">
        <v>305</v>
      </c>
      <c r="G19">
        <v>564024</v>
      </c>
      <c r="H19">
        <v>206.84</v>
      </c>
      <c r="I19" t="s">
        <v>30</v>
      </c>
      <c r="J19" t="s">
        <v>44</v>
      </c>
      <c r="K19" t="s">
        <v>19</v>
      </c>
      <c r="L19">
        <f t="shared" si="4"/>
        <v>41.785858585858584</v>
      </c>
      <c r="M19" t="s">
        <v>17</v>
      </c>
      <c r="N19">
        <f t="shared" ref="N19:N26" si="5">G19-(((G$27/C$27*C19)+(G$28/C$28*C19)+(G$29/C$29*C19))/3)</f>
        <v>89869.400497474999</v>
      </c>
      <c r="O19">
        <f t="shared" ref="O18:O40" si="6">N19/L19</f>
        <v>2150.7132685288207</v>
      </c>
    </row>
    <row r="20" spans="1:15" x14ac:dyDescent="0.2">
      <c r="A20">
        <v>2</v>
      </c>
      <c r="B20" t="s">
        <v>67</v>
      </c>
      <c r="C20">
        <v>1861</v>
      </c>
      <c r="D20">
        <v>372.17700000000002</v>
      </c>
      <c r="E20">
        <v>692622</v>
      </c>
      <c r="F20">
        <v>330</v>
      </c>
      <c r="G20">
        <v>692622</v>
      </c>
      <c r="H20">
        <v>231.369</v>
      </c>
      <c r="I20" t="s">
        <v>31</v>
      </c>
      <c r="J20" t="s">
        <v>44</v>
      </c>
      <c r="K20" t="s">
        <v>19</v>
      </c>
      <c r="L20">
        <f t="shared" si="4"/>
        <v>46.741212121212122</v>
      </c>
      <c r="M20" t="s">
        <v>17</v>
      </c>
      <c r="N20">
        <f t="shared" si="5"/>
        <v>162651.0031986793</v>
      </c>
      <c r="O20">
        <f t="shared" si="6"/>
        <v>3479.8199665186889</v>
      </c>
    </row>
    <row r="21" spans="1:15" x14ac:dyDescent="0.2">
      <c r="A21">
        <v>3</v>
      </c>
      <c r="B21" t="s">
        <v>68</v>
      </c>
      <c r="C21">
        <v>1282</v>
      </c>
      <c r="D21">
        <v>314.012</v>
      </c>
      <c r="E21">
        <v>402563</v>
      </c>
      <c r="F21">
        <v>300</v>
      </c>
      <c r="G21">
        <v>402563</v>
      </c>
      <c r="H21">
        <v>159.18</v>
      </c>
      <c r="I21" t="s">
        <v>32</v>
      </c>
      <c r="J21" t="s">
        <v>44</v>
      </c>
      <c r="K21" t="s">
        <v>19</v>
      </c>
      <c r="L21">
        <f t="shared" si="4"/>
        <v>32.157575757575756</v>
      </c>
      <c r="M21" t="s">
        <v>17</v>
      </c>
      <c r="N21">
        <f t="shared" si="5"/>
        <v>37478.197259917681</v>
      </c>
      <c r="O21">
        <f t="shared" si="6"/>
        <v>1165.4546829789706</v>
      </c>
    </row>
    <row r="22" spans="1:15" x14ac:dyDescent="0.2">
      <c r="A22">
        <v>4</v>
      </c>
      <c r="B22" t="s">
        <v>69</v>
      </c>
      <c r="C22">
        <v>1168</v>
      </c>
      <c r="D22">
        <v>309.65499999999997</v>
      </c>
      <c r="E22">
        <v>361677</v>
      </c>
      <c r="F22">
        <v>299</v>
      </c>
      <c r="G22">
        <v>361677</v>
      </c>
      <c r="H22">
        <v>144.923</v>
      </c>
      <c r="I22" t="s">
        <v>65</v>
      </c>
      <c r="J22" t="s">
        <v>44</v>
      </c>
      <c r="K22" t="s">
        <v>19</v>
      </c>
      <c r="L22">
        <f t="shared" ref="L22" si="7">H22/4.95</f>
        <v>29.277373737373736</v>
      </c>
      <c r="M22" t="s">
        <v>17</v>
      </c>
      <c r="N22">
        <f t="shared" ref="N22" si="8">G22-(((G$27/C$27*C22)+(G$28/C$28*C22)+(G$29/C$29*C22))/3)</f>
        <v>29056.836505135696</v>
      </c>
      <c r="O22">
        <f t="shared" ref="O22" si="9">N22/L22</f>
        <v>992.46731505987111</v>
      </c>
    </row>
    <row r="23" spans="1:15" x14ac:dyDescent="0.2">
      <c r="A23">
        <v>5</v>
      </c>
      <c r="B23" t="s">
        <v>70</v>
      </c>
      <c r="C23">
        <v>1225</v>
      </c>
      <c r="D23">
        <v>307.02</v>
      </c>
      <c r="E23">
        <v>376100</v>
      </c>
      <c r="F23">
        <v>297</v>
      </c>
      <c r="G23">
        <v>376100</v>
      </c>
      <c r="H23">
        <v>152.345</v>
      </c>
      <c r="I23" t="s">
        <v>33</v>
      </c>
      <c r="J23" t="s">
        <v>44</v>
      </c>
      <c r="K23" t="s">
        <v>19</v>
      </c>
      <c r="L23">
        <f t="shared" si="4"/>
        <v>30.776767676767676</v>
      </c>
      <c r="M23" t="s">
        <v>17</v>
      </c>
      <c r="N23">
        <f t="shared" si="5"/>
        <v>27247.516882526688</v>
      </c>
      <c r="O23">
        <f t="shared" si="6"/>
        <v>885.32743817327196</v>
      </c>
    </row>
    <row r="24" spans="1:15" x14ac:dyDescent="0.2">
      <c r="A24">
        <v>6</v>
      </c>
      <c r="B24" t="s">
        <v>71</v>
      </c>
      <c r="C24">
        <v>1078</v>
      </c>
      <c r="D24">
        <v>308.40800000000002</v>
      </c>
      <c r="E24">
        <v>332464</v>
      </c>
      <c r="F24">
        <v>300</v>
      </c>
      <c r="G24">
        <v>332464</v>
      </c>
      <c r="H24">
        <v>133.535</v>
      </c>
      <c r="I24" t="s">
        <v>34</v>
      </c>
      <c r="J24" t="s">
        <v>44</v>
      </c>
      <c r="K24" t="s">
        <v>19</v>
      </c>
      <c r="L24">
        <f t="shared" si="4"/>
        <v>26.976767676767675</v>
      </c>
      <c r="M24" t="s">
        <v>17</v>
      </c>
      <c r="N24">
        <f t="shared" si="5"/>
        <v>25473.814856623474</v>
      </c>
      <c r="O24">
        <f t="shared" si="6"/>
        <v>944.2871422494942</v>
      </c>
    </row>
    <row r="25" spans="1:15" x14ac:dyDescent="0.2">
      <c r="A25">
        <v>7</v>
      </c>
      <c r="B25" t="s">
        <v>72</v>
      </c>
      <c r="C25">
        <v>1688</v>
      </c>
      <c r="D25">
        <v>375.11799999999999</v>
      </c>
      <c r="E25">
        <v>633200</v>
      </c>
      <c r="F25">
        <v>331</v>
      </c>
      <c r="G25">
        <v>633200</v>
      </c>
      <c r="H25">
        <v>209.98500000000001</v>
      </c>
      <c r="I25" t="s">
        <v>35</v>
      </c>
      <c r="J25" t="s">
        <v>44</v>
      </c>
      <c r="K25" t="s">
        <v>19</v>
      </c>
      <c r="L25">
        <f t="shared" si="4"/>
        <v>42.421212121212122</v>
      </c>
      <c r="M25" t="s">
        <v>17</v>
      </c>
      <c r="N25">
        <f t="shared" si="5"/>
        <v>152495.51714098366</v>
      </c>
      <c r="O25">
        <f t="shared" ref="O25:O26" si="10">N25/L25</f>
        <v>3594.7939607489539</v>
      </c>
    </row>
    <row r="26" spans="1:15" x14ac:dyDescent="0.2">
      <c r="A26">
        <v>8</v>
      </c>
      <c r="B26" t="s">
        <v>73</v>
      </c>
      <c r="C26">
        <v>1556</v>
      </c>
      <c r="D26">
        <v>368.536</v>
      </c>
      <c r="E26">
        <v>573442</v>
      </c>
      <c r="F26">
        <v>336</v>
      </c>
      <c r="G26">
        <v>573442</v>
      </c>
      <c r="H26">
        <v>193.79499999999999</v>
      </c>
      <c r="I26" t="s">
        <v>36</v>
      </c>
      <c r="J26" t="s">
        <v>44</v>
      </c>
      <c r="K26" t="s">
        <v>19</v>
      </c>
      <c r="L26">
        <f t="shared" si="4"/>
        <v>39.150505050505046</v>
      </c>
      <c r="M26" t="s">
        <v>17</v>
      </c>
      <c r="N26">
        <f t="shared" si="5"/>
        <v>130328.15205649921</v>
      </c>
      <c r="O26">
        <f t="shared" si="10"/>
        <v>3328.9009142633772</v>
      </c>
    </row>
    <row r="27" spans="1:15" x14ac:dyDescent="0.2">
      <c r="A27">
        <v>9</v>
      </c>
      <c r="B27" t="s">
        <v>74</v>
      </c>
      <c r="C27">
        <v>1798</v>
      </c>
      <c r="D27">
        <v>284.99400000000003</v>
      </c>
      <c r="E27">
        <v>512420</v>
      </c>
      <c r="F27">
        <v>285</v>
      </c>
      <c r="G27">
        <v>512420</v>
      </c>
      <c r="H27">
        <v>223.673</v>
      </c>
      <c r="I27" t="s">
        <v>20</v>
      </c>
      <c r="K27" t="s">
        <v>19</v>
      </c>
      <c r="L27">
        <f t="shared" si="4"/>
        <v>45.186464646464643</v>
      </c>
      <c r="M27" t="s">
        <v>17</v>
      </c>
    </row>
    <row r="28" spans="1:15" x14ac:dyDescent="0.2">
      <c r="A28">
        <v>10</v>
      </c>
      <c r="B28" t="s">
        <v>75</v>
      </c>
      <c r="C28">
        <v>1316</v>
      </c>
      <c r="D28">
        <v>284.70299999999997</v>
      </c>
      <c r="E28">
        <v>374669</v>
      </c>
      <c r="F28">
        <v>285</v>
      </c>
      <c r="G28">
        <v>374669</v>
      </c>
      <c r="H28">
        <v>163.33600000000001</v>
      </c>
      <c r="I28" t="s">
        <v>20</v>
      </c>
      <c r="K28" t="s">
        <v>19</v>
      </c>
      <c r="L28">
        <f t="shared" si="4"/>
        <v>32.997171717171717</v>
      </c>
      <c r="M28" t="s">
        <v>17</v>
      </c>
    </row>
    <row r="29" spans="1:15" x14ac:dyDescent="0.2">
      <c r="A29">
        <v>11</v>
      </c>
      <c r="B29" t="s">
        <v>76</v>
      </c>
      <c r="C29">
        <v>1434</v>
      </c>
      <c r="D29">
        <v>284.63499999999999</v>
      </c>
      <c r="E29">
        <v>408167</v>
      </c>
      <c r="F29">
        <v>285</v>
      </c>
      <c r="G29">
        <v>408167</v>
      </c>
      <c r="H29">
        <v>178.32300000000001</v>
      </c>
      <c r="I29" t="s">
        <v>20</v>
      </c>
      <c r="K29" t="s">
        <v>19</v>
      </c>
      <c r="L29">
        <f t="shared" si="4"/>
        <v>36.024848484848484</v>
      </c>
      <c r="M29" t="s">
        <v>17</v>
      </c>
    </row>
    <row r="30" spans="1:15" x14ac:dyDescent="0.2">
      <c r="A30">
        <v>1</v>
      </c>
      <c r="B30" t="s">
        <v>77</v>
      </c>
      <c r="C30">
        <v>1206</v>
      </c>
      <c r="D30">
        <v>324.69200000000001</v>
      </c>
      <c r="E30">
        <v>391579</v>
      </c>
      <c r="F30">
        <v>304</v>
      </c>
      <c r="G30">
        <v>391579</v>
      </c>
      <c r="H30">
        <v>149.73099999999999</v>
      </c>
      <c r="I30" t="s">
        <v>37</v>
      </c>
      <c r="J30" t="s">
        <v>44</v>
      </c>
      <c r="K30" t="s">
        <v>19</v>
      </c>
      <c r="L30">
        <f t="shared" ref="L30:L40" si="11">H30/4.95</f>
        <v>30.248686868686868</v>
      </c>
      <c r="M30" t="s">
        <v>18</v>
      </c>
      <c r="N30">
        <f t="shared" ref="N30:N37" si="12">G30-(((G$38/C$38*C30)+(G$39/C$39*C30)+(G$40/C$40*C30))/3)</f>
        <v>48370.081105064077</v>
      </c>
      <c r="O30">
        <f t="shared" si="6"/>
        <v>1599.0803605804222</v>
      </c>
    </row>
    <row r="31" spans="1:15" x14ac:dyDescent="0.2">
      <c r="A31">
        <v>2</v>
      </c>
      <c r="B31" t="s">
        <v>78</v>
      </c>
      <c r="C31">
        <v>1614</v>
      </c>
      <c r="D31">
        <v>354.50200000000001</v>
      </c>
      <c r="E31">
        <v>572166</v>
      </c>
      <c r="F31">
        <v>315</v>
      </c>
      <c r="G31">
        <v>572166</v>
      </c>
      <c r="H31">
        <v>201.02500000000001</v>
      </c>
      <c r="I31" t="s">
        <v>45</v>
      </c>
      <c r="J31" t="s">
        <v>44</v>
      </c>
      <c r="K31" t="s">
        <v>19</v>
      </c>
      <c r="L31">
        <f t="shared" si="11"/>
        <v>40.611111111111114</v>
      </c>
      <c r="M31" t="s">
        <v>18</v>
      </c>
      <c r="N31">
        <f t="shared" si="12"/>
        <v>112846.60108090664</v>
      </c>
      <c r="O31">
        <f t="shared" ref="O31" si="13">N31/L31</f>
        <v>2778.7124753164421</v>
      </c>
    </row>
    <row r="32" spans="1:15" x14ac:dyDescent="0.2">
      <c r="A32">
        <v>3</v>
      </c>
      <c r="B32" t="s">
        <v>79</v>
      </c>
      <c r="C32">
        <v>1460</v>
      </c>
      <c r="D32">
        <v>323.39999999999998</v>
      </c>
      <c r="E32">
        <v>472164</v>
      </c>
      <c r="F32">
        <v>306</v>
      </c>
      <c r="G32">
        <v>472164</v>
      </c>
      <c r="H32">
        <v>181.76</v>
      </c>
      <c r="I32" t="s">
        <v>38</v>
      </c>
      <c r="J32" t="s">
        <v>44</v>
      </c>
      <c r="K32" t="s">
        <v>19</v>
      </c>
      <c r="L32">
        <f t="shared" si="11"/>
        <v>36.719191919191914</v>
      </c>
      <c r="M32" t="s">
        <v>18</v>
      </c>
      <c r="N32">
        <f t="shared" si="12"/>
        <v>56670.615599828772</v>
      </c>
      <c r="O32">
        <f>N32/L32</f>
        <v>1543.3513821476258</v>
      </c>
    </row>
    <row r="33" spans="1:15" x14ac:dyDescent="0.2">
      <c r="A33">
        <v>4</v>
      </c>
      <c r="B33" t="s">
        <v>80</v>
      </c>
      <c r="C33">
        <v>1984</v>
      </c>
      <c r="D33">
        <v>383.50599999999997</v>
      </c>
      <c r="E33">
        <v>760875</v>
      </c>
      <c r="F33">
        <v>337</v>
      </c>
      <c r="G33">
        <v>760875</v>
      </c>
      <c r="H33">
        <v>247.1</v>
      </c>
      <c r="I33" t="s">
        <v>39</v>
      </c>
      <c r="J33" t="s">
        <v>44</v>
      </c>
      <c r="K33" t="s">
        <v>19</v>
      </c>
      <c r="L33">
        <f t="shared" si="11"/>
        <v>49.919191919191917</v>
      </c>
      <c r="M33" t="s">
        <v>18</v>
      </c>
      <c r="N33">
        <f t="shared" si="12"/>
        <v>196259.33243154816</v>
      </c>
      <c r="O33">
        <f t="shared" si="6"/>
        <v>3931.5406537278973</v>
      </c>
    </row>
    <row r="34" spans="1:15" x14ac:dyDescent="0.2">
      <c r="A34">
        <v>5</v>
      </c>
      <c r="B34" t="s">
        <v>81</v>
      </c>
      <c r="C34">
        <v>1773</v>
      </c>
      <c r="D34">
        <v>373.983</v>
      </c>
      <c r="E34">
        <v>663071</v>
      </c>
      <c r="F34">
        <v>340</v>
      </c>
      <c r="G34">
        <v>663071</v>
      </c>
      <c r="H34">
        <v>220.63300000000001</v>
      </c>
      <c r="I34" t="s">
        <v>40</v>
      </c>
      <c r="J34" t="s">
        <v>44</v>
      </c>
      <c r="K34" t="s">
        <v>19</v>
      </c>
      <c r="L34">
        <f t="shared" si="11"/>
        <v>44.572323232323235</v>
      </c>
      <c r="M34" t="s">
        <v>18</v>
      </c>
      <c r="N34">
        <f t="shared" si="12"/>
        <v>158502.66401266883</v>
      </c>
      <c r="O34">
        <f t="shared" si="6"/>
        <v>3556.0781336550317</v>
      </c>
    </row>
    <row r="35" spans="1:15" x14ac:dyDescent="0.2">
      <c r="A35">
        <v>6</v>
      </c>
      <c r="B35" t="s">
        <v>82</v>
      </c>
      <c r="C35">
        <v>1511</v>
      </c>
      <c r="D35">
        <v>323.99599999999998</v>
      </c>
      <c r="E35">
        <v>489558</v>
      </c>
      <c r="F35">
        <v>304</v>
      </c>
      <c r="G35">
        <v>489558</v>
      </c>
      <c r="H35">
        <v>187.48699999999999</v>
      </c>
      <c r="I35" t="s">
        <v>41</v>
      </c>
      <c r="J35" t="s">
        <v>44</v>
      </c>
      <c r="K35" t="s">
        <v>19</v>
      </c>
      <c r="L35">
        <f>H35/4.95</f>
        <v>37.87616161616161</v>
      </c>
      <c r="M35" t="s">
        <v>18</v>
      </c>
      <c r="N35">
        <f t="shared" si="12"/>
        <v>59550.805596809136</v>
      </c>
      <c r="O35">
        <f t="shared" si="6"/>
        <v>1572.2502771083075</v>
      </c>
    </row>
    <row r="36" spans="1:15" x14ac:dyDescent="0.2">
      <c r="A36">
        <v>7</v>
      </c>
      <c r="B36" t="s">
        <v>83</v>
      </c>
      <c r="C36">
        <v>1435</v>
      </c>
      <c r="D36">
        <v>368.20800000000003</v>
      </c>
      <c r="E36">
        <v>528379</v>
      </c>
      <c r="F36">
        <v>333</v>
      </c>
      <c r="G36">
        <v>528379</v>
      </c>
      <c r="H36">
        <v>178.62100000000001</v>
      </c>
      <c r="I36" t="s">
        <v>42</v>
      </c>
      <c r="J36" t="s">
        <v>44</v>
      </c>
      <c r="K36" t="s">
        <v>19</v>
      </c>
      <c r="L36">
        <f t="shared" si="11"/>
        <v>36.085050505050503</v>
      </c>
      <c r="M36" t="s">
        <v>18</v>
      </c>
      <c r="N36">
        <f t="shared" si="12"/>
        <v>120000.22834640712</v>
      </c>
      <c r="O36">
        <f t="shared" si="6"/>
        <v>3325.4831756328499</v>
      </c>
    </row>
    <row r="37" spans="1:15" x14ac:dyDescent="0.2">
      <c r="A37">
        <v>8</v>
      </c>
      <c r="B37" t="s">
        <v>84</v>
      </c>
      <c r="C37">
        <v>1265</v>
      </c>
      <c r="D37">
        <v>335.37599999999998</v>
      </c>
      <c r="E37">
        <v>424251</v>
      </c>
      <c r="F37">
        <v>310</v>
      </c>
      <c r="G37">
        <v>424251</v>
      </c>
      <c r="H37">
        <v>157.24199999999999</v>
      </c>
      <c r="I37" t="s">
        <v>43</v>
      </c>
      <c r="J37" t="s">
        <v>44</v>
      </c>
      <c r="K37" t="s">
        <v>19</v>
      </c>
      <c r="L37">
        <f t="shared" si="11"/>
        <v>31.766060606060602</v>
      </c>
      <c r="M37" t="s">
        <v>18</v>
      </c>
      <c r="N37">
        <f t="shared" si="12"/>
        <v>64251.59502313938</v>
      </c>
      <c r="O37">
        <f t="shared" si="6"/>
        <v>2022.6491355015833</v>
      </c>
    </row>
    <row r="38" spans="1:15" x14ac:dyDescent="0.2">
      <c r="A38">
        <v>9</v>
      </c>
      <c r="B38" t="s">
        <v>85</v>
      </c>
      <c r="C38">
        <v>1432</v>
      </c>
      <c r="D38">
        <v>284.726</v>
      </c>
      <c r="E38">
        <v>407728</v>
      </c>
      <c r="F38">
        <v>285</v>
      </c>
      <c r="G38">
        <v>407728</v>
      </c>
      <c r="H38">
        <v>178.84899999999999</v>
      </c>
      <c r="I38" t="s">
        <v>20</v>
      </c>
      <c r="K38" t="s">
        <v>19</v>
      </c>
      <c r="L38">
        <f t="shared" si="11"/>
        <v>36.13111111111111</v>
      </c>
      <c r="M38" t="s">
        <v>18</v>
      </c>
    </row>
    <row r="39" spans="1:15" x14ac:dyDescent="0.2">
      <c r="A39">
        <v>10</v>
      </c>
      <c r="B39" t="s">
        <v>86</v>
      </c>
      <c r="C39">
        <v>1524</v>
      </c>
      <c r="D39">
        <v>284.596</v>
      </c>
      <c r="E39">
        <v>433724</v>
      </c>
      <c r="F39">
        <v>285</v>
      </c>
      <c r="G39">
        <v>433724</v>
      </c>
      <c r="H39">
        <v>189.15899999999999</v>
      </c>
      <c r="I39" t="s">
        <v>20</v>
      </c>
      <c r="K39" t="s">
        <v>19</v>
      </c>
      <c r="L39">
        <f t="shared" si="11"/>
        <v>38.213939393939391</v>
      </c>
      <c r="M39" t="s">
        <v>18</v>
      </c>
    </row>
    <row r="40" spans="1:15" x14ac:dyDescent="0.2">
      <c r="A40">
        <v>11</v>
      </c>
      <c r="B40" t="s">
        <v>87</v>
      </c>
      <c r="C40">
        <v>1379</v>
      </c>
      <c r="D40">
        <v>284.43099999999998</v>
      </c>
      <c r="E40">
        <v>392231</v>
      </c>
      <c r="F40">
        <v>284</v>
      </c>
      <c r="G40">
        <v>392231</v>
      </c>
      <c r="H40">
        <v>171.47</v>
      </c>
      <c r="I40" t="s">
        <v>20</v>
      </c>
      <c r="K40" t="s">
        <v>19</v>
      </c>
      <c r="L40">
        <f t="shared" si="11"/>
        <v>34.640404040404036</v>
      </c>
      <c r="M40" t="s">
        <v>18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2024-02-07T14:17:03Z</dcterms:modified>
</cp:coreProperties>
</file>