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12" i="1" l="1"/>
  <c r="N111" i="1"/>
  <c r="N103" i="1"/>
  <c r="N102" i="1"/>
  <c r="N93" i="1"/>
  <c r="N92" i="1"/>
  <c r="N83" i="1"/>
  <c r="N82" i="1"/>
  <c r="N72" i="1"/>
  <c r="N73" i="1"/>
  <c r="N74" i="1"/>
  <c r="N75" i="1"/>
  <c r="N76" i="1"/>
  <c r="N77" i="1"/>
  <c r="N78" i="1"/>
  <c r="N71" i="1"/>
  <c r="N61" i="1"/>
  <c r="N60" i="1"/>
  <c r="N52" i="1"/>
  <c r="N51" i="1"/>
  <c r="N42" i="1"/>
  <c r="N41" i="1"/>
  <c r="N32" i="1"/>
  <c r="N31" i="1"/>
  <c r="N22" i="1"/>
  <c r="N21" i="1"/>
  <c r="N16" i="1"/>
  <c r="N12" i="1"/>
  <c r="N13" i="1"/>
  <c r="N14" i="1"/>
  <c r="N15" i="1"/>
  <c r="N17" i="1"/>
  <c r="N2" i="1"/>
  <c r="N113" i="1"/>
  <c r="N114" i="1"/>
  <c r="N115" i="1"/>
  <c r="N116" i="1"/>
  <c r="N117" i="1"/>
  <c r="N118" i="1"/>
  <c r="L112" i="1"/>
  <c r="L111" i="1"/>
  <c r="L118" i="1"/>
  <c r="O112" i="1" l="1"/>
  <c r="O111" i="1"/>
  <c r="O118" i="1"/>
  <c r="O114" i="1"/>
  <c r="L121" i="1"/>
  <c r="O121" i="1" s="1"/>
  <c r="L120" i="1"/>
  <c r="O120" i="1" s="1"/>
  <c r="L119" i="1"/>
  <c r="O119" i="1" s="1"/>
  <c r="L117" i="1"/>
  <c r="O117" i="1" s="1"/>
  <c r="L116" i="1"/>
  <c r="O116" i="1" s="1"/>
  <c r="L115" i="1"/>
  <c r="O115" i="1" s="1"/>
  <c r="L114" i="1"/>
  <c r="L113" i="1"/>
  <c r="O113" i="1" s="1"/>
  <c r="L106" i="1"/>
  <c r="N106" i="1"/>
  <c r="O106" i="1" s="1"/>
  <c r="L107" i="1"/>
  <c r="N107" i="1"/>
  <c r="O107" i="1" s="1"/>
  <c r="L102" i="1"/>
  <c r="O102" i="1" s="1"/>
  <c r="L101" i="1"/>
  <c r="N101" i="1"/>
  <c r="N104" i="1"/>
  <c r="N105" i="1"/>
  <c r="L110" i="1"/>
  <c r="O110" i="1" s="1"/>
  <c r="L109" i="1"/>
  <c r="O109" i="1" s="1"/>
  <c r="L108" i="1"/>
  <c r="O108" i="1" s="1"/>
  <c r="L105" i="1"/>
  <c r="L104" i="1"/>
  <c r="L103" i="1"/>
  <c r="O103" i="1" s="1"/>
  <c r="N94" i="1"/>
  <c r="N95" i="1"/>
  <c r="N96" i="1"/>
  <c r="N97" i="1"/>
  <c r="L100" i="1"/>
  <c r="O100" i="1" s="1"/>
  <c r="L99" i="1"/>
  <c r="O99" i="1" s="1"/>
  <c r="L98" i="1"/>
  <c r="O98" i="1" s="1"/>
  <c r="L97" i="1"/>
  <c r="L96" i="1"/>
  <c r="L95" i="1"/>
  <c r="L94" i="1"/>
  <c r="L93" i="1"/>
  <c r="O93" i="1" s="1"/>
  <c r="L92" i="1"/>
  <c r="O92" i="1" s="1"/>
  <c r="L82" i="1"/>
  <c r="O82" i="1" s="1"/>
  <c r="L83" i="1"/>
  <c r="O83" i="1" s="1"/>
  <c r="L84" i="1"/>
  <c r="L85" i="1"/>
  <c r="L86" i="1"/>
  <c r="L87" i="1"/>
  <c r="L88" i="1"/>
  <c r="L89" i="1"/>
  <c r="O89" i="1" s="1"/>
  <c r="L90" i="1"/>
  <c r="O90" i="1" s="1"/>
  <c r="L91" i="1"/>
  <c r="O91" i="1" s="1"/>
  <c r="N84" i="1"/>
  <c r="O84" i="1" s="1"/>
  <c r="N85" i="1"/>
  <c r="O85" i="1" s="1"/>
  <c r="N86" i="1"/>
  <c r="O86" i="1" s="1"/>
  <c r="N87" i="1"/>
  <c r="O87" i="1" s="1"/>
  <c r="N88" i="1"/>
  <c r="O88" i="1" s="1"/>
  <c r="L81" i="1"/>
  <c r="O81" i="1" s="1"/>
  <c r="L80" i="1"/>
  <c r="O80" i="1" s="1"/>
  <c r="L79" i="1"/>
  <c r="O79" i="1" s="1"/>
  <c r="L78" i="1"/>
  <c r="O78" i="1" s="1"/>
  <c r="L77" i="1"/>
  <c r="O77" i="1" s="1"/>
  <c r="L76" i="1"/>
  <c r="O76" i="1" s="1"/>
  <c r="L75" i="1"/>
  <c r="O75" i="1" s="1"/>
  <c r="L74" i="1"/>
  <c r="O74" i="1" s="1"/>
  <c r="L73" i="1"/>
  <c r="O73" i="1" s="1"/>
  <c r="L72" i="1"/>
  <c r="O72" i="1" s="1"/>
  <c r="L71" i="1"/>
  <c r="O71" i="1" s="1"/>
  <c r="N62" i="1"/>
  <c r="N63" i="1"/>
  <c r="N64" i="1"/>
  <c r="N65" i="1"/>
  <c r="N66" i="1"/>
  <c r="O66" i="1" s="1"/>
  <c r="N67" i="1"/>
  <c r="L66" i="1"/>
  <c r="L67" i="1"/>
  <c r="L70" i="1"/>
  <c r="O70" i="1" s="1"/>
  <c r="L69" i="1"/>
  <c r="O69" i="1" s="1"/>
  <c r="L68" i="1"/>
  <c r="O68" i="1" s="1"/>
  <c r="L65" i="1"/>
  <c r="L64" i="1"/>
  <c r="L63" i="1"/>
  <c r="L62" i="1"/>
  <c r="L61" i="1"/>
  <c r="O61" i="1" s="1"/>
  <c r="L60" i="1"/>
  <c r="O60" i="1" s="1"/>
  <c r="L55" i="1"/>
  <c r="N55" i="1"/>
  <c r="N53" i="1"/>
  <c r="N54" i="1"/>
  <c r="N56" i="1"/>
  <c r="O56" i="1" s="1"/>
  <c r="L51" i="1"/>
  <c r="O51" i="1" s="1"/>
  <c r="L52" i="1"/>
  <c r="O52" i="1" s="1"/>
  <c r="L53" i="1"/>
  <c r="L54" i="1"/>
  <c r="L56" i="1"/>
  <c r="L57" i="1"/>
  <c r="O57" i="1" s="1"/>
  <c r="L58" i="1"/>
  <c r="O58" i="1" s="1"/>
  <c r="L59" i="1"/>
  <c r="O59" i="1" s="1"/>
  <c r="N43" i="1"/>
  <c r="N44" i="1"/>
  <c r="N45" i="1"/>
  <c r="N46" i="1"/>
  <c r="N47" i="1"/>
  <c r="L50" i="1"/>
  <c r="O50" i="1" s="1"/>
  <c r="L49" i="1"/>
  <c r="O49" i="1" s="1"/>
  <c r="L48" i="1"/>
  <c r="O48" i="1" s="1"/>
  <c r="L47" i="1"/>
  <c r="L46" i="1"/>
  <c r="L45" i="1"/>
  <c r="L44" i="1"/>
  <c r="L43" i="1"/>
  <c r="L42" i="1"/>
  <c r="O42" i="1" s="1"/>
  <c r="L41" i="1"/>
  <c r="O41" i="1" s="1"/>
  <c r="N23" i="1"/>
  <c r="N24" i="1"/>
  <c r="N25" i="1"/>
  <c r="N26" i="1"/>
  <c r="N27" i="1"/>
  <c r="N33" i="1"/>
  <c r="N34" i="1"/>
  <c r="N35" i="1"/>
  <c r="N36" i="1"/>
  <c r="N37" i="1"/>
  <c r="L40" i="1"/>
  <c r="O40" i="1" s="1"/>
  <c r="L39" i="1"/>
  <c r="O39" i="1" s="1"/>
  <c r="L38" i="1"/>
  <c r="O38" i="1" s="1"/>
  <c r="L37" i="1"/>
  <c r="L36" i="1"/>
  <c r="L35" i="1"/>
  <c r="L34" i="1"/>
  <c r="L33" i="1"/>
  <c r="L32" i="1"/>
  <c r="L31" i="1"/>
  <c r="L27" i="1"/>
  <c r="L30" i="1"/>
  <c r="O30" i="1" s="1"/>
  <c r="L29" i="1"/>
  <c r="O29" i="1" s="1"/>
  <c r="L28" i="1"/>
  <c r="O28" i="1" s="1"/>
  <c r="L26" i="1"/>
  <c r="L25" i="1"/>
  <c r="L24" i="1"/>
  <c r="L23" i="1"/>
  <c r="L22" i="1"/>
  <c r="L21" i="1"/>
  <c r="L20" i="1"/>
  <c r="O20" i="1" s="1"/>
  <c r="L19" i="1"/>
  <c r="O19" i="1" s="1"/>
  <c r="L18" i="1"/>
  <c r="O18" i="1" s="1"/>
  <c r="L17" i="1"/>
  <c r="L16" i="1"/>
  <c r="L15" i="1"/>
  <c r="L14" i="1"/>
  <c r="L13" i="1"/>
  <c r="L12" i="1"/>
  <c r="N3" i="1"/>
  <c r="N4" i="1"/>
  <c r="N5" i="1"/>
  <c r="N6" i="1"/>
  <c r="N7" i="1"/>
  <c r="N8" i="1"/>
  <c r="L11" i="1"/>
  <c r="O11" i="1" s="1"/>
  <c r="L10" i="1"/>
  <c r="O10" i="1" s="1"/>
  <c r="L9" i="1"/>
  <c r="O9" i="1" s="1"/>
  <c r="L8" i="1"/>
  <c r="L7" i="1"/>
  <c r="L6" i="1"/>
  <c r="L5" i="1"/>
  <c r="L4" i="1"/>
  <c r="L3" i="1"/>
  <c r="L2" i="1"/>
  <c r="O44" i="1" l="1"/>
  <c r="O53" i="1"/>
  <c r="O65" i="1"/>
  <c r="O96" i="1"/>
  <c r="O55" i="1"/>
  <c r="O47" i="1"/>
  <c r="O43" i="1"/>
  <c r="O64" i="1"/>
  <c r="O95" i="1"/>
  <c r="O105" i="1"/>
  <c r="O46" i="1"/>
  <c r="O67" i="1"/>
  <c r="O63" i="1"/>
  <c r="O94" i="1"/>
  <c r="O104" i="1"/>
  <c r="O45" i="1"/>
  <c r="O54" i="1"/>
  <c r="O62" i="1"/>
  <c r="O97" i="1"/>
  <c r="O101" i="1"/>
  <c r="O17" i="1"/>
  <c r="O31" i="1"/>
  <c r="O36" i="1"/>
  <c r="O32" i="1"/>
  <c r="O34" i="1"/>
  <c r="O27" i="1"/>
  <c r="O23" i="1"/>
  <c r="O25" i="1"/>
  <c r="O35" i="1"/>
  <c r="O21" i="1"/>
  <c r="O24" i="1"/>
  <c r="O37" i="1"/>
  <c r="O33" i="1"/>
  <c r="O26" i="1"/>
  <c r="O22" i="1"/>
  <c r="O15" i="1"/>
  <c r="O3" i="1"/>
  <c r="O2" i="1"/>
  <c r="O14" i="1"/>
  <c r="O16" i="1"/>
  <c r="O12" i="1"/>
  <c r="O7" i="1"/>
  <c r="O13" i="1"/>
  <c r="O6" i="1"/>
  <c r="O8" i="1"/>
  <c r="O4" i="1"/>
  <c r="O5" i="1"/>
</calcChain>
</file>

<file path=xl/sharedStrings.xml><?xml version="1.0" encoding="utf-8"?>
<sst xmlns="http://schemas.openxmlformats.org/spreadsheetml/2006/main" count="700" uniqueCount="179">
  <si>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</si>
  <si>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</si>
  <si>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</si>
  <si>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</si>
  <si>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</si>
  <si>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</si>
  <si>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</si>
  <si>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</si>
  <si>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</si>
  <si>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</si>
  <si>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</si>
  <si>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RawIntDen_normBackg_normLen</t>
  </si>
  <si>
    <t>PLATE</t>
  </si>
  <si>
    <t>plate1</t>
  </si>
  <si>
    <t>plate2</t>
  </si>
  <si>
    <t>number</t>
  </si>
  <si>
    <t>plate8</t>
  </si>
  <si>
    <t>seedling2</t>
  </si>
  <si>
    <t>seedling3</t>
  </si>
  <si>
    <t>seedling4</t>
  </si>
  <si>
    <t>seedling5</t>
  </si>
  <si>
    <t>seedling6</t>
  </si>
  <si>
    <t>seedling7</t>
  </si>
  <si>
    <t>seedling8</t>
  </si>
  <si>
    <t>background</t>
  </si>
  <si>
    <t>seedling9</t>
  </si>
  <si>
    <t>seedling10</t>
  </si>
  <si>
    <t>seedling11</t>
  </si>
  <si>
    <t>seedling12</t>
  </si>
  <si>
    <t>seedling13</t>
  </si>
  <si>
    <t>seedling14</t>
  </si>
  <si>
    <t>seedling16</t>
  </si>
  <si>
    <t>seedling17</t>
  </si>
  <si>
    <t>seedling18</t>
  </si>
  <si>
    <t>seedling20</t>
  </si>
  <si>
    <t>seedling21</t>
  </si>
  <si>
    <t>seedling22</t>
  </si>
  <si>
    <t>seedling23</t>
  </si>
  <si>
    <t>seedling24</t>
  </si>
  <si>
    <t>pNRT2.1:LUC</t>
  </si>
  <si>
    <t>seedling15</t>
  </si>
  <si>
    <t>seedling1</t>
  </si>
  <si>
    <t>plate7</t>
  </si>
  <si>
    <t>RawIntDen_norm_bckg</t>
  </si>
  <si>
    <t>seedling19</t>
  </si>
  <si>
    <t>1mM-&gt;10mM</t>
  </si>
  <si>
    <t>1mM-&gt;1mM</t>
  </si>
  <si>
    <t>10mM-&gt;1mM</t>
  </si>
  <si>
    <t>10mM-&gt;10mM</t>
  </si>
  <si>
    <t>DAY</t>
  </si>
  <si>
    <t>plate11</t>
  </si>
  <si>
    <t>plate3</t>
  </si>
  <si>
    <t>plate4</t>
  </si>
  <si>
    <t>plate5</t>
  </si>
  <si>
    <t>plate6</t>
  </si>
  <si>
    <t>plate9</t>
  </si>
  <si>
    <t>plate10</t>
  </si>
  <si>
    <t>plate12</t>
  </si>
  <si>
    <t>20240906_pnrt21_luc_1mM_1mM_N1_luc.tif:0191-0272</t>
  </si>
  <si>
    <t>20240906_pnrt21_luc_1mM_1mM_N1_luc.tif:0165-0326</t>
  </si>
  <si>
    <t>20240906_pnrt21_luc_1mM_1mM_N1_luc.tif:0183-0392</t>
  </si>
  <si>
    <t>20240906_pnrt21_luc_1mM_1mM_N1_luc.tif:0172-0436</t>
  </si>
  <si>
    <t>20240906_pnrt21_luc_1mM_1mM_N1_luc.tif:0179-0487</t>
  </si>
  <si>
    <t>20240906_pnrt21_luc_1mM_1mM_N1_luc.tif:0182-0530</t>
  </si>
  <si>
    <t>20240906_pnrt21_luc_1mM_1mM_N1_luc.tif:0177-0584</t>
  </si>
  <si>
    <t>20240906_pnrt21_luc_1mM_1mM_N1_luc.tif:0394-0533</t>
  </si>
  <si>
    <t>20240906_pnrt21_luc_1mM_1mM_N1_luc.tif:0395-0454</t>
  </si>
  <si>
    <t>20240906_pnrt21_luc_1mM_1mM_N1_luc.tif:0367-0372</t>
  </si>
  <si>
    <t>10d</t>
  </si>
  <si>
    <t>20240906_pnrt21_luc_1mM_1mM_N2_luc.tif:0175-0193</t>
  </si>
  <si>
    <t>20240906_pnrt21_luc_1mM_1mM_N2_luc.tif:0158-0251</t>
  </si>
  <si>
    <t>20240906_pnrt21_luc_1mM_1mM_N2_luc.tif:0194-0407</t>
  </si>
  <si>
    <t>20240906_pnrt21_luc_1mM_1mM_N2_luc.tif:0157-0457</t>
  </si>
  <si>
    <t>20240906_pnrt21_luc_1mM_1mM_N2_luc.tif:0188-0506</t>
  </si>
  <si>
    <t>20240906_pnrt21_luc_1mM_1mM_N2_luc.tif:0187-0540</t>
  </si>
  <si>
    <t>20240906_pnrt21_luc_1mM_1mM_N2_luc.tif:0375-0582</t>
  </si>
  <si>
    <t>20240906_pnrt21_luc_1mM_1mM_N2_luc.tif:0364-0365</t>
  </si>
  <si>
    <t>20240906_pnrt21_luc_1mM_1mM_N2_luc.tif:0351-0320</t>
  </si>
  <si>
    <t>20240906_pnrt21_luc_1mM_1mM_N3_luc.tif:0161-0199</t>
  </si>
  <si>
    <t>20240906_pnrt21_luc_1mM_1mM_N3_luc.tif:0172-0266</t>
  </si>
  <si>
    <t>20240906_pnrt21_luc_1mM_1mM_N3_luc.tif:0151-0371</t>
  </si>
  <si>
    <t>20240906_pnrt21_luc_1mM_1mM_N3_luc.tif:0190-0416</t>
  </si>
  <si>
    <t>20240906_pnrt21_luc_1mM_1mM_N3_luc.tif:0178-0477</t>
  </si>
  <si>
    <t>20240906_pnrt21_luc_1mM_1mM_N3_luc.tif:0186-0531</t>
  </si>
  <si>
    <t>20240906_pnrt21_luc_1mM_1mM_N3_luc.tif:0177-0584</t>
  </si>
  <si>
    <t>20240906_pnrt21_luc_1mM_1mM_N3_luc.tif:0370-0605</t>
  </si>
  <si>
    <t>20240906_pnrt21_luc_1mM_1mM_N3_luc.tif:0361-0445</t>
  </si>
  <si>
    <t>20240906_pnrt21_luc_1mM_1mM_N3_luc.tif:0368-0343</t>
  </si>
  <si>
    <t>20240906_pnrt21_luc_1mM_10mM_N4_luc.tif:0189-0229</t>
  </si>
  <si>
    <t>20240906_pnrt21_luc_1mM_10mM_N4_luc.tif:0187-0254</t>
  </si>
  <si>
    <t>20240906_pnrt21_luc_1mM_10mM_N4_luc.tif:0211-0327</t>
  </si>
  <si>
    <t>20240906_pnrt21_luc_1mM_10mM_N4_luc.tif:0201-0392</t>
  </si>
  <si>
    <t>20240906_pnrt21_luc_1mM_10mM_N4_luc.tif:0176-0435</t>
  </si>
  <si>
    <t>20240906_pnrt21_luc_1mM_10mM_N4_luc.tif:0203-0489</t>
  </si>
  <si>
    <t>20240906_pnrt21_luc_1mM_10mM_N4_luc.tif:0186-0550</t>
  </si>
  <si>
    <t>20240906_pnrt21_luc_1mM_10mM_N4_luc.tif:0359-0593</t>
  </si>
  <si>
    <t>20240906_pnrt21_luc_1mM_10mM_N4_luc.tif:0373-0524</t>
  </si>
  <si>
    <t>20240906_pnrt21_luc_1mM_10mM_N4_luc.tif:0342-0456</t>
  </si>
  <si>
    <t>20240906_pnrt21_luc_1mM_10mM_N5_luc.tif:0185-0220</t>
  </si>
  <si>
    <t>20240906_pnrt21_luc_1mM_10mM_N5_luc.tif:0155-0272</t>
  </si>
  <si>
    <t>20240906_pnrt21_luc_1mM_10mM_N5_luc.tif:0176-0317</t>
  </si>
  <si>
    <t>20240906_pnrt21_luc_1mM_10mM_N5_luc.tif:0158-0373</t>
  </si>
  <si>
    <t>20240906_pnrt21_luc_1mM_10mM_N5_luc.tif:0190-0431</t>
  </si>
  <si>
    <t>20240906_pnrt21_luc_1mM_10mM_N5_luc.tif:0163-0487</t>
  </si>
  <si>
    <t>20240906_pnrt21_luc_1mM_10mM_N5_luc.tif:0171-0586</t>
  </si>
  <si>
    <t>20240906_pnrt21_luc_1mM_10mM_N5_luc.tif:0380-0554</t>
  </si>
  <si>
    <t>20240906_pnrt21_luc_1mM_10mM_N5_luc.tif:0399-0508</t>
  </si>
  <si>
    <t>20240906_pnrt21_luc_1mM_10mM_N5_luc.tif:0396-0398</t>
  </si>
  <si>
    <t>20240906_pnrt21_luc_1mM_10mM_N6_luc:0177-0229</t>
  </si>
  <si>
    <t>20240906_pnrt21_luc_1mM_10mM_N6_luc:0179-0269</t>
  </si>
  <si>
    <t>20240906_pnrt21_luc_1mM_10mM_N6_luc:0171-0317</t>
  </si>
  <si>
    <t>20240906_pnrt21_luc_1mM_10mM_N6_luc:0147-0364</t>
  </si>
  <si>
    <t>20240906_pnrt21_luc_1mM_10mM_N6_luc:0177-0536</t>
  </si>
  <si>
    <t>20240906_pnrt21_luc_1mM_10mM_N6_luc:0182-0591</t>
  </si>
  <si>
    <t>20240906_pnrt21_luc_1mM_10mM_N6_luc:0367-0412</t>
  </si>
  <si>
    <t>20240906_pnrt21_luc_1mM_10mM_N6_luc:0375-0465</t>
  </si>
  <si>
    <t>20240906_pnrt21_luc_1mM_10mM_N6_luc:0352-0527</t>
  </si>
  <si>
    <t>20240906_pnrt21_luc_10mM_1mM_N7_luc.tif:0199-0213</t>
  </si>
  <si>
    <t>20240906_pnrt21_luc_10mM_1mM_N7_luc.tif:0173-0257</t>
  </si>
  <si>
    <t>20240906_pnrt21_luc_10mM_1mM_N7_luc.tif:0204-0324</t>
  </si>
  <si>
    <t>20240906_pnrt21_luc_10mM_1mM_N7_luc.tif:0197-0379</t>
  </si>
  <si>
    <t>20240906_pnrt21_luc_10mM_1mM_N7_luc.tif:0192-0410</t>
  </si>
  <si>
    <t>20240906_pnrt21_luc_10mM_1mM_N7_luc.tif:0193-0479</t>
  </si>
  <si>
    <t>20240906_pnrt21_luc_10mM_1mM_N7_luc.tif:0183-0534</t>
  </si>
  <si>
    <t>20240906_pnrt21_luc_10mM_1mM_N7_luc.tif:0165-0578</t>
  </si>
  <si>
    <t>20240906_pnrt21_luc_10mM_1mM_N7_luc.tif:0361-0587</t>
  </si>
  <si>
    <t>20240906_pnrt21_luc_10mM_1mM_N7_luc.tif:0380-0452</t>
  </si>
  <si>
    <t>20240906_pnrt21_luc_10mM_1mM_N7_luc.tif:0370-0309</t>
  </si>
  <si>
    <t>20240906_pnrt21_luc_10mM_1mM_N8_luc.tif:0171-0206</t>
  </si>
  <si>
    <t>20240906_pnrt21_luc_10mM_1mM_N8_luc.tif:0152-0255</t>
  </si>
  <si>
    <t>20240906_pnrt21_luc_10mM_1mM_N8_luc.tif:0185-0302</t>
  </si>
  <si>
    <t>20240906_pnrt21_luc_10mM_1mM_N8_luc.tif:0184-0360</t>
  </si>
  <si>
    <t>20240906_pnrt21_luc_10mM_1mM_N8_luc.tif:0165-0406</t>
  </si>
  <si>
    <t>20240906_pnrt21_luc_10mM_1mM_N8_luc.tif:0178-0469</t>
  </si>
  <si>
    <t>20240906_pnrt21_luc_10mM_1mM_N8_luc.tif:0155-0521</t>
  </si>
  <si>
    <t>20240906_pnrt21_luc_10mM_1mM_N8_luc.tif:0153-0566</t>
  </si>
  <si>
    <t>20240906_pnrt21_luc_10mM_1mM_N8_luc.tif:0350-0569</t>
  </si>
  <si>
    <t>20240906_pnrt21_luc_10mM_1mM_N8_luc.tif:0370-0510</t>
  </si>
  <si>
    <t>20240906_pnrt21_luc_10mM_1mM_N8_luc.tif:0364-0441</t>
  </si>
  <si>
    <t>20240906_pnrt21_luc_10mM_1mM_N9_luc.tif:0173-0205</t>
  </si>
  <si>
    <t>20240906_pnrt21_luc_10mM_1mM_N9_luc.tif:0150-0264</t>
  </si>
  <si>
    <t>20240906_pnrt21_luc_10mM_1mM_N9_luc.tif:0160-0356</t>
  </si>
  <si>
    <t>20240906_pnrt21_luc_10mM_1mM_N9_luc.tif:0175-0413</t>
  </si>
  <si>
    <t>20240906_pnrt21_luc_10mM_1mM_N9_luc.tif:0195-0456</t>
  </si>
  <si>
    <t>20240906_pnrt21_luc_10mM_1mM_N9_luc.tif:0153-0530</t>
  </si>
  <si>
    <t>20240906_pnrt21_luc_10mM_1mM_N9_luc.tif:0186-0570</t>
  </si>
  <si>
    <t>20240906_pnrt21_luc_10mM_1mM_N9_luc.tif:0382-0577</t>
  </si>
  <si>
    <t>20240906_pnrt21_luc_10mM_1mM_N9_luc.tif:0388-0500</t>
  </si>
  <si>
    <t>20240906_pnrt21_luc_10mM_1mM_N9_luc.tif:0366-0364</t>
  </si>
  <si>
    <t>20240906_pnrt21_luc_10mM_10mM_N10_luc.tif:0161-0267</t>
  </si>
  <si>
    <t>20240906_pnrt21_luc_10mM_10mM_N10_luc.tif:0159-0317</t>
  </si>
  <si>
    <t>20240906_pnrt21_luc_10mM_10mM_N10_luc.tif:0142-0375</t>
  </si>
  <si>
    <t>20240906_pnrt21_luc_10mM_10mM_N10_luc.tif:0161-0408</t>
  </si>
  <si>
    <t>20240906_pnrt21_luc_10mM_10mM_N10_luc.tif:0198-0484</t>
  </si>
  <si>
    <t>20240906_pnrt21_luc_10mM_10mM_N10_luc.tif:0181-0531</t>
  </si>
  <si>
    <t>20240906_pnrt21_luc_10mM_10mM_N10_luc.tif:0374-0555</t>
  </si>
  <si>
    <t>20240906_pnrt21_luc_10mM_10mM_N10_luc.tif:0376-0433</t>
  </si>
  <si>
    <t>20240906_pnrt21_luc_10mM_10mM_N10_luc.tif:0369-0334</t>
  </si>
  <si>
    <t>20240906_pnrt21_luc_10mM_10mM_N11_luc.tif:0157-0229</t>
  </si>
  <si>
    <t>20240906_pnrt21_luc_10mM_10mM_N11_luc.tif:0152-0273</t>
  </si>
  <si>
    <t>20240906_pnrt21_luc_10mM_10mM_N11_luc.tif:0160-0333</t>
  </si>
  <si>
    <t>20240906_pnrt21_luc_10mM_10mM_N11_luc.tif:0170-0367</t>
  </si>
  <si>
    <t>20240906_pnrt21_luc_10mM_10mM_N11_luc.tif:0160-0481</t>
  </si>
  <si>
    <t>20240906_pnrt21_luc_10mM_10mM_N11_luc.tif:0199-0536</t>
  </si>
  <si>
    <t>20240906_pnrt21_luc_10mM_10mM_N11_luc.tif:0184-0591</t>
  </si>
  <si>
    <t>20240906_pnrt21_luc_10mM_10mM_N11_luc.tif:0353-0611</t>
  </si>
  <si>
    <t>20240906_pnrt21_luc_10mM_10mM_N11_luc.tif:0350-0503</t>
  </si>
  <si>
    <t>20240906_pnrt21_luc_10mM_10mM_N11_luc.tif:0338-0427</t>
  </si>
  <si>
    <t>20240906_pnrt21_luc_10mM_10mM_N12_luc.tif:0175-0203</t>
  </si>
  <si>
    <t>20240906_pnrt21_luc_10mM_10mM_N12_luc.tif:0158-0238</t>
  </si>
  <si>
    <t>20240906_pnrt21_luc_10mM_10mM_N12_luc.tif:0182-0303</t>
  </si>
  <si>
    <t>20240906_pnrt21_luc_10mM_10mM_N12_luc.tif:0183-0365</t>
  </si>
  <si>
    <t>20240906_pnrt21_luc_10mM_10mM_N12_luc.tif:0166-0405</t>
  </si>
  <si>
    <t>20240906_pnrt21_luc_10mM_10mM_N12_luc.tif:0158-0457</t>
  </si>
  <si>
    <t>20240906_pnrt21_luc_10mM_10mM_N12_luc.tif:0174-0511</t>
  </si>
  <si>
    <t>20240906_pnrt21_luc_10mM_10mM_N12_luc.tif:0177-0561</t>
  </si>
  <si>
    <t>20240906_pnrt21_luc_10mM_10mM_N12_luc.tif:0359-0577</t>
  </si>
  <si>
    <t>20240906_pnrt21_luc_10mM_10mM_N12_luc.tif:0376-0465</t>
  </si>
  <si>
    <t>20240906_pnrt21_luc_10mM_10mM_N12_luc.tif:0377-0269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</si>
</sst>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2" borderId="0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/>
    <xf numFmtId="0" fontId="0" fillId="0" borderId="8" xfId="0" applyBorder="1"/>
    <xf numFmtId="0" fontId="0" fillId="0" borderId="10" xfId="0" applyBorder="1"/>
    <xf numFmtId="0" fontId="0" fillId="2" borderId="10" xfId="0" applyFill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tabSelected="1" topLeftCell="A96" zoomScale="85" zoomScaleNormal="85" workbookViewId="0">
      <selection activeCell="A122" sqref="A122:XFD242"/>
    </sheetView>
  </sheetViews>
  <sheetFormatPr baseColWidth="10" defaultColWidth="9.140625" defaultRowHeight="15" x14ac:dyDescent="0.25"/>
  <cols>
    <col min="2" max="2" width="35.5703125" customWidth="1"/>
    <col min="7" max="7" width="13.42578125" customWidth="1"/>
    <col min="8" max="8" width="11.85546875" customWidth="1"/>
    <col min="9" max="9" width="13.7109375" customWidth="1"/>
    <col min="10" max="10" width="13" customWidth="1"/>
    <col min="11" max="11" width="14.28515625" customWidth="1"/>
    <col min="12" max="12" width="11.7109375" customWidth="1"/>
    <col min="13" max="13" width="10.5703125" customWidth="1"/>
    <col min="14" max="14" width="23.5703125" customWidth="1"/>
    <col min="15" max="15" width="34.85546875" customWidth="1"/>
    <col min="16" max="16" width="6" customWidth="1"/>
  </cols>
  <sheetData>
    <row r="1" spans="1:16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43</v>
      </c>
      <c r="O1" s="1" t="s">
        <v>11</v>
      </c>
      <c r="P1" s="1" t="s">
        <v>49</v>
      </c>
    </row>
    <row r="2" spans="1:16" x14ac:dyDescent="0.25">
      <c r="A2" s="6">
        <v>1</v>
      </c>
      <c r="B2" s="7" t="s">
        <v>58</v>
      </c>
      <c r="C2" s="7">
        <v>2063</v>
      </c>
      <c r="D2" s="7">
        <v>1327.67</v>
      </c>
      <c r="E2" s="7">
        <v>2738984</v>
      </c>
      <c r="F2" s="7">
        <v>1119</v>
      </c>
      <c r="G2" s="7">
        <v>2738984</v>
      </c>
      <c r="H2" s="7">
        <v>256.80099999999999</v>
      </c>
      <c r="I2" s="7" t="s">
        <v>17</v>
      </c>
      <c r="J2" s="7" t="s">
        <v>39</v>
      </c>
      <c r="K2" s="8" t="s">
        <v>46</v>
      </c>
      <c r="L2" s="7">
        <f t="shared" ref="L2:L11" si="0">H2/4</f>
        <v>64.200249999999997</v>
      </c>
      <c r="M2" s="7" t="s">
        <v>13</v>
      </c>
      <c r="N2" s="7">
        <f>G2-(((G$9/C$9*C2)+(G$10/C$10*C2)+(G$11/C$11*C2))/3)</f>
        <v>602805.6666465546</v>
      </c>
      <c r="O2" s="7">
        <f>N2/L2</f>
        <v>9389.4598018941451</v>
      </c>
      <c r="P2" s="9" t="s">
        <v>68</v>
      </c>
    </row>
    <row r="3" spans="1:16" x14ac:dyDescent="0.25">
      <c r="A3" s="6">
        <v>2</v>
      </c>
      <c r="B3" s="7" t="s">
        <v>59</v>
      </c>
      <c r="C3" s="7">
        <v>1737</v>
      </c>
      <c r="D3" s="7">
        <v>1288.1179999999999</v>
      </c>
      <c r="E3" s="7">
        <v>2237461</v>
      </c>
      <c r="F3" s="7">
        <v>1110</v>
      </c>
      <c r="G3" s="7">
        <v>2237461</v>
      </c>
      <c r="H3" s="7">
        <v>216.22</v>
      </c>
      <c r="I3" s="7" t="s">
        <v>18</v>
      </c>
      <c r="J3" s="7" t="s">
        <v>39</v>
      </c>
      <c r="K3" s="8" t="s">
        <v>46</v>
      </c>
      <c r="L3" s="7">
        <f t="shared" si="0"/>
        <v>54.055</v>
      </c>
      <c r="M3" s="7" t="s">
        <v>13</v>
      </c>
      <c r="N3" s="7">
        <f t="shared" ref="N3:N8" si="1">G3-(((G$9/C$9*C3)+(G$10/C$10*C3)+(G$11/C$11*C3))/3)</f>
        <v>438846.47501942073</v>
      </c>
      <c r="O3" s="7">
        <f t="shared" ref="O3:O11" si="2">N3/L3</f>
        <v>8118.5177137992923</v>
      </c>
      <c r="P3" s="9" t="s">
        <v>68</v>
      </c>
    </row>
    <row r="4" spans="1:16" x14ac:dyDescent="0.25">
      <c r="A4" s="6">
        <v>3</v>
      </c>
      <c r="B4" s="7" t="s">
        <v>60</v>
      </c>
      <c r="C4" s="7">
        <v>2066</v>
      </c>
      <c r="D4" s="7">
        <v>1206.1320000000001</v>
      </c>
      <c r="E4" s="7">
        <v>2491869</v>
      </c>
      <c r="F4" s="7">
        <v>1091</v>
      </c>
      <c r="G4" s="7">
        <v>2491869</v>
      </c>
      <c r="H4" s="7">
        <v>257.30900000000003</v>
      </c>
      <c r="I4" s="7" t="s">
        <v>19</v>
      </c>
      <c r="J4" s="7" t="s">
        <v>39</v>
      </c>
      <c r="K4" s="8" t="s">
        <v>46</v>
      </c>
      <c r="L4" s="7">
        <f t="shared" si="0"/>
        <v>64.327250000000006</v>
      </c>
      <c r="M4" s="7" t="s">
        <v>13</v>
      </c>
      <c r="N4" s="7">
        <f t="shared" si="1"/>
        <v>352584.25123208016</v>
      </c>
      <c r="O4" s="7">
        <f t="shared" si="2"/>
        <v>5481.1025068237823</v>
      </c>
      <c r="P4" s="9" t="s">
        <v>68</v>
      </c>
    </row>
    <row r="5" spans="1:16" x14ac:dyDescent="0.25">
      <c r="A5" s="6">
        <v>4</v>
      </c>
      <c r="B5" s="7" t="s">
        <v>61</v>
      </c>
      <c r="C5" s="7">
        <v>1874</v>
      </c>
      <c r="D5" s="7">
        <v>1157.903</v>
      </c>
      <c r="E5" s="7">
        <v>2169911</v>
      </c>
      <c r="F5" s="7">
        <v>1081</v>
      </c>
      <c r="G5" s="7">
        <v>2169911</v>
      </c>
      <c r="H5" s="7">
        <v>233.30699999999999</v>
      </c>
      <c r="I5" s="7" t="s">
        <v>20</v>
      </c>
      <c r="J5" s="7" t="s">
        <v>39</v>
      </c>
      <c r="K5" s="8" t="s">
        <v>46</v>
      </c>
      <c r="L5" s="7">
        <f t="shared" si="0"/>
        <v>58.326749999999997</v>
      </c>
      <c r="M5" s="7" t="s">
        <v>13</v>
      </c>
      <c r="N5" s="7">
        <f t="shared" si="1"/>
        <v>229436.83775843121</v>
      </c>
      <c r="O5" s="7">
        <f t="shared" si="2"/>
        <v>3933.6468731487907</v>
      </c>
      <c r="P5" s="9" t="s">
        <v>68</v>
      </c>
    </row>
    <row r="6" spans="1:16" x14ac:dyDescent="0.25">
      <c r="A6" s="6">
        <v>5</v>
      </c>
      <c r="B6" s="7" t="s">
        <v>62</v>
      </c>
      <c r="C6" s="7">
        <v>2155</v>
      </c>
      <c r="D6" s="7">
        <v>1307.53</v>
      </c>
      <c r="E6" s="7">
        <v>2817727</v>
      </c>
      <c r="F6" s="7">
        <v>1109</v>
      </c>
      <c r="G6" s="7">
        <v>2817727</v>
      </c>
      <c r="H6" s="7">
        <v>267.92200000000003</v>
      </c>
      <c r="I6" s="7" t="s">
        <v>21</v>
      </c>
      <c r="J6" s="7" t="s">
        <v>39</v>
      </c>
      <c r="K6" s="8" t="s">
        <v>46</v>
      </c>
      <c r="L6" s="7">
        <f t="shared" si="0"/>
        <v>66.980500000000006</v>
      </c>
      <c r="M6" s="7" t="s">
        <v>13</v>
      </c>
      <c r="N6" s="7">
        <f t="shared" si="1"/>
        <v>586285.26060267771</v>
      </c>
      <c r="O6" s="7">
        <f t="shared" si="2"/>
        <v>8753.0738140604753</v>
      </c>
      <c r="P6" s="9" t="s">
        <v>68</v>
      </c>
    </row>
    <row r="7" spans="1:16" x14ac:dyDescent="0.25">
      <c r="A7" s="6">
        <v>6</v>
      </c>
      <c r="B7" s="7" t="s">
        <v>63</v>
      </c>
      <c r="C7" s="7">
        <v>2002</v>
      </c>
      <c r="D7" s="7">
        <v>1330.374</v>
      </c>
      <c r="E7" s="7">
        <v>2663409</v>
      </c>
      <c r="F7" s="7">
        <v>1111</v>
      </c>
      <c r="G7" s="7">
        <v>2663409</v>
      </c>
      <c r="H7" s="7">
        <v>249.28800000000001</v>
      </c>
      <c r="I7" s="7" t="s">
        <v>22</v>
      </c>
      <c r="J7" s="7" t="s">
        <v>39</v>
      </c>
      <c r="K7" s="8" t="s">
        <v>46</v>
      </c>
      <c r="L7" s="7">
        <f t="shared" si="0"/>
        <v>62.322000000000003</v>
      </c>
      <c r="M7" s="7" t="s">
        <v>13</v>
      </c>
      <c r="N7" s="7">
        <f t="shared" si="1"/>
        <v>590394.44674086384</v>
      </c>
      <c r="O7" s="7">
        <f t="shared" si="2"/>
        <v>9473.2910808520883</v>
      </c>
      <c r="P7" s="9" t="s">
        <v>68</v>
      </c>
    </row>
    <row r="8" spans="1:16" x14ac:dyDescent="0.25">
      <c r="A8" s="6">
        <v>7</v>
      </c>
      <c r="B8" s="7" t="s">
        <v>64</v>
      </c>
      <c r="C8" s="7">
        <v>2024</v>
      </c>
      <c r="D8" s="7">
        <v>1264.0619999999999</v>
      </c>
      <c r="E8" s="7">
        <v>2558462</v>
      </c>
      <c r="F8" s="7">
        <v>1101</v>
      </c>
      <c r="G8" s="7">
        <v>2558462</v>
      </c>
      <c r="H8" s="7">
        <v>252.09</v>
      </c>
      <c r="I8" s="7" t="s">
        <v>23</v>
      </c>
      <c r="J8" s="7" t="s">
        <v>39</v>
      </c>
      <c r="K8" s="8" t="s">
        <v>46</v>
      </c>
      <c r="L8" s="7">
        <f t="shared" si="0"/>
        <v>63.022500000000001</v>
      </c>
      <c r="M8" s="7" t="s">
        <v>13</v>
      </c>
      <c r="N8" s="7">
        <f t="shared" si="1"/>
        <v>462667.06703471951</v>
      </c>
      <c r="O8" s="7">
        <f t="shared" si="2"/>
        <v>7341.2998061758817</v>
      </c>
      <c r="P8" s="9" t="s">
        <v>68</v>
      </c>
    </row>
    <row r="9" spans="1:16" x14ac:dyDescent="0.25">
      <c r="A9" s="6">
        <v>8</v>
      </c>
      <c r="B9" s="7" t="s">
        <v>65</v>
      </c>
      <c r="C9" s="7">
        <v>1277</v>
      </c>
      <c r="D9" s="7">
        <v>1035.6859999999999</v>
      </c>
      <c r="E9" s="7">
        <v>1322571</v>
      </c>
      <c r="F9" s="7">
        <v>1035</v>
      </c>
      <c r="G9" s="7">
        <v>1322571</v>
      </c>
      <c r="H9" s="7">
        <v>158.512</v>
      </c>
      <c r="I9" s="7" t="s">
        <v>24</v>
      </c>
      <c r="J9" s="7"/>
      <c r="K9" s="8" t="s">
        <v>46</v>
      </c>
      <c r="L9" s="7">
        <f t="shared" si="0"/>
        <v>39.628</v>
      </c>
      <c r="M9" s="7" t="s">
        <v>13</v>
      </c>
      <c r="N9" s="7"/>
      <c r="O9" s="7">
        <f t="shared" si="2"/>
        <v>0</v>
      </c>
      <c r="P9" s="9" t="s">
        <v>68</v>
      </c>
    </row>
    <row r="10" spans="1:16" x14ac:dyDescent="0.25">
      <c r="A10" s="6">
        <v>9</v>
      </c>
      <c r="B10" s="7" t="s">
        <v>66</v>
      </c>
      <c r="C10" s="7">
        <v>1452</v>
      </c>
      <c r="D10" s="7">
        <v>1035.01</v>
      </c>
      <c r="E10" s="7">
        <v>1502835</v>
      </c>
      <c r="F10" s="7">
        <v>1034</v>
      </c>
      <c r="G10" s="7">
        <v>1502835</v>
      </c>
      <c r="H10" s="7">
        <v>180.107</v>
      </c>
      <c r="I10" s="7" t="s">
        <v>24</v>
      </c>
      <c r="J10" s="7"/>
      <c r="K10" s="8" t="s">
        <v>46</v>
      </c>
      <c r="L10" s="7">
        <f t="shared" si="0"/>
        <v>45.02675</v>
      </c>
      <c r="M10" s="7" t="s">
        <v>13</v>
      </c>
      <c r="N10" s="7"/>
      <c r="O10" s="7">
        <f t="shared" si="2"/>
        <v>0</v>
      </c>
      <c r="P10" s="9" t="s">
        <v>68</v>
      </c>
    </row>
    <row r="11" spans="1:16" x14ac:dyDescent="0.25">
      <c r="A11" s="10">
        <v>10</v>
      </c>
      <c r="B11" s="11" t="s">
        <v>67</v>
      </c>
      <c r="C11" s="11">
        <v>1513</v>
      </c>
      <c r="D11" s="11">
        <v>1035.7190000000001</v>
      </c>
      <c r="E11" s="11">
        <v>1567043</v>
      </c>
      <c r="F11" s="11">
        <v>1035</v>
      </c>
      <c r="G11" s="11">
        <v>1567043</v>
      </c>
      <c r="H11" s="11">
        <v>188.65899999999999</v>
      </c>
      <c r="I11" s="11" t="s">
        <v>24</v>
      </c>
      <c r="J11" s="11"/>
      <c r="K11" s="8" t="s">
        <v>46</v>
      </c>
      <c r="L11" s="11">
        <f t="shared" si="0"/>
        <v>47.164749999999998</v>
      </c>
      <c r="M11" s="7" t="s">
        <v>13</v>
      </c>
      <c r="N11" s="11"/>
      <c r="O11" s="11">
        <f t="shared" si="2"/>
        <v>0</v>
      </c>
      <c r="P11" s="9" t="s">
        <v>68</v>
      </c>
    </row>
    <row r="12" spans="1:16" x14ac:dyDescent="0.25">
      <c r="A12" s="7">
        <v>1</v>
      </c>
      <c r="B12" s="7" t="s">
        <v>69</v>
      </c>
      <c r="C12" s="7">
        <v>1820</v>
      </c>
      <c r="D12" s="7">
        <v>1359.68</v>
      </c>
      <c r="E12" s="7">
        <v>2474618</v>
      </c>
      <c r="F12" s="7">
        <v>1124</v>
      </c>
      <c r="G12" s="7">
        <v>2474618</v>
      </c>
      <c r="H12" s="7">
        <v>226.249</v>
      </c>
      <c r="I12" s="7" t="s">
        <v>25</v>
      </c>
      <c r="J12" s="7" t="s">
        <v>39</v>
      </c>
      <c r="K12" s="8" t="s">
        <v>46</v>
      </c>
      <c r="L12" s="7">
        <f t="shared" ref="L12:L20" si="3">H12/4</f>
        <v>56.562249999999999</v>
      </c>
      <c r="M12" s="7" t="s">
        <v>14</v>
      </c>
      <c r="N12" s="7">
        <f>G12-(((G$18/C$18*C12)+(G$19/C$19*C12)+(G$20/C$20*C12))/3)</f>
        <v>590528.6061585173</v>
      </c>
      <c r="O12" s="7">
        <f>N12/L12</f>
        <v>10440.33089487277</v>
      </c>
      <c r="P12" s="9" t="s">
        <v>68</v>
      </c>
    </row>
    <row r="13" spans="1:16" x14ac:dyDescent="0.25">
      <c r="A13" s="7">
        <v>2</v>
      </c>
      <c r="B13" s="7" t="s">
        <v>70</v>
      </c>
      <c r="C13" s="7">
        <v>1675</v>
      </c>
      <c r="D13" s="7">
        <v>1315.261</v>
      </c>
      <c r="E13" s="7">
        <v>2203063</v>
      </c>
      <c r="F13" s="7">
        <v>1119</v>
      </c>
      <c r="G13" s="7">
        <v>2203063</v>
      </c>
      <c r="H13" s="7">
        <v>207.98</v>
      </c>
      <c r="I13" s="7" t="s">
        <v>26</v>
      </c>
      <c r="J13" s="7" t="s">
        <v>39</v>
      </c>
      <c r="K13" s="8" t="s">
        <v>46</v>
      </c>
      <c r="L13" s="7">
        <f t="shared" si="3"/>
        <v>51.994999999999997</v>
      </c>
      <c r="M13" s="7" t="s">
        <v>14</v>
      </c>
      <c r="N13" s="7">
        <f t="shared" ref="N13:N17" si="4">G13-(((G$18/C$18*C13)+(G$19/C$19*C13)+(G$20/C$20*C13))/3)</f>
        <v>469079.62929423992</v>
      </c>
      <c r="O13" s="7">
        <f t="shared" ref="O13:O76" si="5">N13/L13</f>
        <v>9021.6295661936711</v>
      </c>
      <c r="P13" s="9" t="s">
        <v>68</v>
      </c>
    </row>
    <row r="14" spans="1:16" x14ac:dyDescent="0.25">
      <c r="A14" s="7">
        <v>3</v>
      </c>
      <c r="B14" s="7" t="s">
        <v>71</v>
      </c>
      <c r="C14" s="7">
        <v>2168</v>
      </c>
      <c r="D14" s="7">
        <v>1338.905</v>
      </c>
      <c r="E14" s="7">
        <v>2902746</v>
      </c>
      <c r="F14" s="7">
        <v>1122</v>
      </c>
      <c r="G14" s="7">
        <v>2902746</v>
      </c>
      <c r="H14" s="7">
        <v>270.12799999999999</v>
      </c>
      <c r="I14" s="7" t="s">
        <v>29</v>
      </c>
      <c r="J14" s="7" t="s">
        <v>39</v>
      </c>
      <c r="K14" s="8" t="s">
        <v>46</v>
      </c>
      <c r="L14" s="7">
        <f t="shared" si="3"/>
        <v>67.531999999999996</v>
      </c>
      <c r="M14" s="7" t="s">
        <v>14</v>
      </c>
      <c r="N14" s="7">
        <f t="shared" si="4"/>
        <v>658402.1506327833</v>
      </c>
      <c r="O14" s="7">
        <f t="shared" si="5"/>
        <v>9749.4839577205366</v>
      </c>
      <c r="P14" s="9" t="s">
        <v>68</v>
      </c>
    </row>
    <row r="15" spans="1:16" x14ac:dyDescent="0.25">
      <c r="A15" s="7">
        <v>4</v>
      </c>
      <c r="B15" s="7" t="s">
        <v>72</v>
      </c>
      <c r="C15" s="7">
        <v>1582</v>
      </c>
      <c r="D15" s="7">
        <v>1253.538</v>
      </c>
      <c r="E15" s="7">
        <v>1983097</v>
      </c>
      <c r="F15" s="7">
        <v>1105</v>
      </c>
      <c r="G15" s="7">
        <v>1983097</v>
      </c>
      <c r="H15" s="7">
        <v>196.87</v>
      </c>
      <c r="I15" s="7" t="s">
        <v>30</v>
      </c>
      <c r="J15" s="7" t="s">
        <v>39</v>
      </c>
      <c r="K15" s="8" t="s">
        <v>46</v>
      </c>
      <c r="L15" s="7">
        <f t="shared" si="3"/>
        <v>49.217500000000001</v>
      </c>
      <c r="M15" s="7" t="s">
        <v>14</v>
      </c>
      <c r="N15" s="7">
        <f t="shared" si="4"/>
        <v>345388.52689163457</v>
      </c>
      <c r="O15" s="7">
        <f t="shared" si="5"/>
        <v>7017.5959138849912</v>
      </c>
      <c r="P15" s="9" t="s">
        <v>68</v>
      </c>
    </row>
    <row r="16" spans="1:16" x14ac:dyDescent="0.25">
      <c r="A16" s="7">
        <v>5</v>
      </c>
      <c r="B16" s="7" t="s">
        <v>73</v>
      </c>
      <c r="C16" s="7">
        <v>1997</v>
      </c>
      <c r="D16" s="7">
        <v>1266.8209999999999</v>
      </c>
      <c r="E16" s="7">
        <v>2529842</v>
      </c>
      <c r="F16" s="7">
        <v>1118</v>
      </c>
      <c r="G16" s="7">
        <v>2529842</v>
      </c>
      <c r="H16" s="7">
        <v>248.72900000000001</v>
      </c>
      <c r="I16" s="7" t="s">
        <v>40</v>
      </c>
      <c r="J16" s="7" t="s">
        <v>39</v>
      </c>
      <c r="K16" s="8" t="s">
        <v>46</v>
      </c>
      <c r="L16" s="7">
        <f t="shared" si="3"/>
        <v>62.182250000000003</v>
      </c>
      <c r="M16" s="7" t="s">
        <v>14</v>
      </c>
      <c r="N16" s="7">
        <f>G16-(((G$18/C$18*C16)+(G$19/C$19*C16)+(G$20/C$20*C16))/3)</f>
        <v>462519.73653767002</v>
      </c>
      <c r="O16" s="7">
        <f t="shared" si="5"/>
        <v>7438.1312438464356</v>
      </c>
      <c r="P16" s="9" t="s">
        <v>68</v>
      </c>
    </row>
    <row r="17" spans="1:16" x14ac:dyDescent="0.25">
      <c r="A17" s="7">
        <v>6</v>
      </c>
      <c r="B17" s="7" t="s">
        <v>74</v>
      </c>
      <c r="C17" s="7">
        <v>2127</v>
      </c>
      <c r="D17" s="7">
        <v>1467.847</v>
      </c>
      <c r="E17" s="7">
        <v>3122110</v>
      </c>
      <c r="F17" s="7">
        <v>1137</v>
      </c>
      <c r="G17" s="7">
        <v>3122110</v>
      </c>
      <c r="H17" s="7">
        <v>266.93</v>
      </c>
      <c r="I17" s="7" t="s">
        <v>31</v>
      </c>
      <c r="J17" s="7" t="s">
        <v>39</v>
      </c>
      <c r="K17" s="8" t="s">
        <v>46</v>
      </c>
      <c r="L17" s="7">
        <f t="shared" si="3"/>
        <v>66.732500000000002</v>
      </c>
      <c r="M17" s="7" t="s">
        <v>14</v>
      </c>
      <c r="N17" s="7">
        <f t="shared" si="4"/>
        <v>920209.92269184953</v>
      </c>
      <c r="O17" s="7">
        <f t="shared" si="5"/>
        <v>13789.531677845869</v>
      </c>
      <c r="P17" s="9" t="s">
        <v>68</v>
      </c>
    </row>
    <row r="18" spans="1:16" x14ac:dyDescent="0.25">
      <c r="A18" s="7">
        <v>7</v>
      </c>
      <c r="B18" s="7" t="s">
        <v>75</v>
      </c>
      <c r="C18" s="7">
        <v>1781</v>
      </c>
      <c r="D18" s="7">
        <v>1034.27</v>
      </c>
      <c r="E18" s="7">
        <v>1842035</v>
      </c>
      <c r="F18" s="7">
        <v>1034</v>
      </c>
      <c r="G18" s="7">
        <v>1842035</v>
      </c>
      <c r="H18" s="7">
        <v>221.75800000000001</v>
      </c>
      <c r="I18" s="7" t="s">
        <v>24</v>
      </c>
      <c r="J18" s="7"/>
      <c r="K18" s="8" t="s">
        <v>46</v>
      </c>
      <c r="L18" s="7">
        <f t="shared" si="3"/>
        <v>55.439500000000002</v>
      </c>
      <c r="M18" s="7" t="s">
        <v>14</v>
      </c>
      <c r="N18" s="7"/>
      <c r="O18" s="7">
        <f t="shared" si="5"/>
        <v>0</v>
      </c>
      <c r="P18" s="9" t="s">
        <v>68</v>
      </c>
    </row>
    <row r="19" spans="1:16" x14ac:dyDescent="0.25">
      <c r="A19" s="7">
        <v>8</v>
      </c>
      <c r="B19" s="7" t="s">
        <v>76</v>
      </c>
      <c r="C19" s="7">
        <v>1712</v>
      </c>
      <c r="D19" s="7">
        <v>1036.0920000000001</v>
      </c>
      <c r="E19" s="7">
        <v>1773790</v>
      </c>
      <c r="F19" s="7">
        <v>1036</v>
      </c>
      <c r="G19" s="7">
        <v>1773790</v>
      </c>
      <c r="H19" s="7">
        <v>213.06200000000001</v>
      </c>
      <c r="I19" s="7" t="s">
        <v>24</v>
      </c>
      <c r="J19" s="7"/>
      <c r="K19" s="8" t="s">
        <v>46</v>
      </c>
      <c r="L19" s="7">
        <f t="shared" si="3"/>
        <v>53.265500000000003</v>
      </c>
      <c r="M19" s="7" t="s">
        <v>14</v>
      </c>
      <c r="N19" s="7"/>
      <c r="O19" s="7">
        <f t="shared" si="5"/>
        <v>0</v>
      </c>
      <c r="P19" s="9" t="s">
        <v>68</v>
      </c>
    </row>
    <row r="20" spans="1:16" x14ac:dyDescent="0.25">
      <c r="A20" s="11">
        <v>9</v>
      </c>
      <c r="B20" s="11" t="s">
        <v>77</v>
      </c>
      <c r="C20" s="11">
        <v>1585</v>
      </c>
      <c r="D20" s="11">
        <v>1035.279</v>
      </c>
      <c r="E20" s="11">
        <v>1640918</v>
      </c>
      <c r="F20" s="11">
        <v>1034</v>
      </c>
      <c r="G20" s="11">
        <v>1640918</v>
      </c>
      <c r="H20" s="11">
        <v>197.54499999999999</v>
      </c>
      <c r="I20" s="11" t="s">
        <v>24</v>
      </c>
      <c r="J20" s="11"/>
      <c r="K20" s="12" t="s">
        <v>46</v>
      </c>
      <c r="L20" s="11">
        <f t="shared" si="3"/>
        <v>49.386249999999997</v>
      </c>
      <c r="M20" s="11" t="s">
        <v>14</v>
      </c>
      <c r="N20" s="11"/>
      <c r="O20" s="7">
        <f t="shared" si="5"/>
        <v>0</v>
      </c>
      <c r="P20" s="13" t="s">
        <v>68</v>
      </c>
    </row>
    <row r="21" spans="1:16" x14ac:dyDescent="0.25">
      <c r="A21">
        <v>1</v>
      </c>
      <c r="B21" t="s">
        <v>78</v>
      </c>
      <c r="C21">
        <v>1809</v>
      </c>
      <c r="D21">
        <v>1268.6969999999999</v>
      </c>
      <c r="E21">
        <v>2295073</v>
      </c>
      <c r="F21">
        <v>1109</v>
      </c>
      <c r="G21">
        <v>2295073</v>
      </c>
      <c r="H21">
        <v>226.14400000000001</v>
      </c>
      <c r="I21" s="7" t="s">
        <v>32</v>
      </c>
      <c r="J21" s="7" t="s">
        <v>39</v>
      </c>
      <c r="K21" s="8" t="s">
        <v>46</v>
      </c>
      <c r="L21" s="7">
        <f t="shared" ref="L21:L30" si="6">H21/4</f>
        <v>56.536000000000001</v>
      </c>
      <c r="M21" s="7" t="s">
        <v>51</v>
      </c>
      <c r="N21" s="7">
        <f>G21-(((G$28/C$28*C21)+(G$29/C$29*C21)+(G$30/C$30*C21))/3)</f>
        <v>424676.33242153819</v>
      </c>
      <c r="O21" s="7">
        <f t="shared" si="5"/>
        <v>7511.6091060835251</v>
      </c>
      <c r="P21" s="9" t="s">
        <v>68</v>
      </c>
    </row>
    <row r="22" spans="1:16" x14ac:dyDescent="0.25">
      <c r="A22">
        <v>2</v>
      </c>
      <c r="B22" t="s">
        <v>79</v>
      </c>
      <c r="C22">
        <v>1814</v>
      </c>
      <c r="D22">
        <v>1344.104</v>
      </c>
      <c r="E22">
        <v>2438205</v>
      </c>
      <c r="F22">
        <v>1135</v>
      </c>
      <c r="G22">
        <v>2438205</v>
      </c>
      <c r="H22">
        <v>226.01599999999999</v>
      </c>
      <c r="I22" s="7" t="s">
        <v>33</v>
      </c>
      <c r="J22" s="7" t="s">
        <v>39</v>
      </c>
      <c r="K22" s="8" t="s">
        <v>46</v>
      </c>
      <c r="L22" s="7">
        <f t="shared" si="6"/>
        <v>56.503999999999998</v>
      </c>
      <c r="M22" s="7" t="s">
        <v>51</v>
      </c>
      <c r="N22" s="7">
        <f>G22-(((G$28/C$28*C22)+(G$29/C$29*C22)+(G$30/C$30*C22))/3)</f>
        <v>562638.63461175817</v>
      </c>
      <c r="O22" s="7">
        <f t="shared" si="5"/>
        <v>9957.5009665113648</v>
      </c>
      <c r="P22" s="9" t="s">
        <v>68</v>
      </c>
    </row>
    <row r="23" spans="1:16" x14ac:dyDescent="0.25">
      <c r="A23">
        <v>3</v>
      </c>
      <c r="B23" t="s">
        <v>80</v>
      </c>
      <c r="C23">
        <v>1425</v>
      </c>
      <c r="D23">
        <v>1156.8</v>
      </c>
      <c r="E23">
        <v>1648440</v>
      </c>
      <c r="F23">
        <v>1077</v>
      </c>
      <c r="G23">
        <v>1648440</v>
      </c>
      <c r="H23">
        <v>177.279</v>
      </c>
      <c r="I23" s="7" t="s">
        <v>34</v>
      </c>
      <c r="J23" s="7" t="s">
        <v>39</v>
      </c>
      <c r="K23" s="8" t="s">
        <v>46</v>
      </c>
      <c r="L23" s="7">
        <f t="shared" si="6"/>
        <v>44.319749999999999</v>
      </c>
      <c r="M23" s="7" t="s">
        <v>51</v>
      </c>
      <c r="N23" s="7">
        <f t="shared" ref="N23:N27" si="7">G23-(((G$28/C$28*C23)+(G$29/C$29*C23)+(G$30/C$30*C23))/3)</f>
        <v>175076.12421265431</v>
      </c>
      <c r="O23" s="7">
        <f t="shared" si="5"/>
        <v>3950.2958435608125</v>
      </c>
      <c r="P23" s="9" t="s">
        <v>68</v>
      </c>
    </row>
    <row r="24" spans="1:16" x14ac:dyDescent="0.25">
      <c r="A24">
        <v>4</v>
      </c>
      <c r="B24" t="s">
        <v>81</v>
      </c>
      <c r="C24">
        <v>1903</v>
      </c>
      <c r="D24">
        <v>1333.7570000000001</v>
      </c>
      <c r="E24">
        <v>2538140</v>
      </c>
      <c r="F24">
        <v>1125</v>
      </c>
      <c r="G24">
        <v>2538140</v>
      </c>
      <c r="H24">
        <v>236.49600000000001</v>
      </c>
      <c r="I24" s="7" t="s">
        <v>35</v>
      </c>
      <c r="J24" s="7" t="s">
        <v>39</v>
      </c>
      <c r="K24" s="8" t="s">
        <v>46</v>
      </c>
      <c r="L24" s="7">
        <f t="shared" si="6"/>
        <v>59.124000000000002</v>
      </c>
      <c r="M24" s="7" t="s">
        <v>51</v>
      </c>
      <c r="N24" s="7">
        <f t="shared" si="7"/>
        <v>570553.01359767094</v>
      </c>
      <c r="O24" s="7">
        <f t="shared" si="5"/>
        <v>9650.1084770595844</v>
      </c>
      <c r="P24" s="9" t="s">
        <v>68</v>
      </c>
    </row>
    <row r="25" spans="1:16" x14ac:dyDescent="0.25">
      <c r="A25">
        <v>5</v>
      </c>
      <c r="B25" t="s">
        <v>82</v>
      </c>
      <c r="C25">
        <v>1843</v>
      </c>
      <c r="D25">
        <v>1223.297</v>
      </c>
      <c r="E25">
        <v>2254536</v>
      </c>
      <c r="F25">
        <v>1094</v>
      </c>
      <c r="G25">
        <v>2254536</v>
      </c>
      <c r="H25">
        <v>228.58500000000001</v>
      </c>
      <c r="I25" s="7" t="s">
        <v>36</v>
      </c>
      <c r="J25" s="7" t="s">
        <v>39</v>
      </c>
      <c r="K25" s="8" t="s">
        <v>46</v>
      </c>
      <c r="L25" s="7">
        <f t="shared" si="6"/>
        <v>57.146250000000002</v>
      </c>
      <c r="M25" s="7" t="s">
        <v>51</v>
      </c>
      <c r="N25" s="7">
        <f t="shared" si="7"/>
        <v>348985.387315033</v>
      </c>
      <c r="O25" s="7">
        <f t="shared" si="5"/>
        <v>6106.8816819132135</v>
      </c>
      <c r="P25" s="9" t="s">
        <v>68</v>
      </c>
    </row>
    <row r="26" spans="1:16" x14ac:dyDescent="0.25">
      <c r="A26">
        <v>6</v>
      </c>
      <c r="B26" t="s">
        <v>83</v>
      </c>
      <c r="C26">
        <v>1977</v>
      </c>
      <c r="D26">
        <v>1334.1769999999999</v>
      </c>
      <c r="E26">
        <v>2637668</v>
      </c>
      <c r="F26">
        <v>1116</v>
      </c>
      <c r="G26">
        <v>2637668</v>
      </c>
      <c r="H26">
        <v>246.50399999999999</v>
      </c>
      <c r="I26" s="7" t="s">
        <v>37</v>
      </c>
      <c r="J26" s="7" t="s">
        <v>39</v>
      </c>
      <c r="K26" s="8" t="s">
        <v>46</v>
      </c>
      <c r="L26" s="7">
        <f>H26/4</f>
        <v>61.625999999999998</v>
      </c>
      <c r="M26" s="7" t="s">
        <v>51</v>
      </c>
      <c r="N26" s="7">
        <f t="shared" si="7"/>
        <v>593569.4860129247</v>
      </c>
      <c r="O26" s="7">
        <f t="shared" si="5"/>
        <v>9631.8029080732922</v>
      </c>
      <c r="P26" s="9" t="s">
        <v>68</v>
      </c>
    </row>
    <row r="27" spans="1:16" x14ac:dyDescent="0.25">
      <c r="A27">
        <v>7</v>
      </c>
      <c r="B27" t="s">
        <v>84</v>
      </c>
      <c r="C27">
        <v>1831</v>
      </c>
      <c r="D27">
        <v>1307.127</v>
      </c>
      <c r="E27">
        <v>2393349</v>
      </c>
      <c r="F27">
        <v>1106</v>
      </c>
      <c r="G27">
        <v>2393349</v>
      </c>
      <c r="H27">
        <v>228.63200000000001</v>
      </c>
      <c r="I27" s="7" t="s">
        <v>38</v>
      </c>
      <c r="J27" s="7" t="s">
        <v>39</v>
      </c>
      <c r="K27" s="8" t="s">
        <v>46</v>
      </c>
      <c r="L27" s="7">
        <f>H27/4</f>
        <v>57.158000000000001</v>
      </c>
      <c r="M27" s="7" t="s">
        <v>51</v>
      </c>
      <c r="N27" s="7">
        <f t="shared" si="7"/>
        <v>500205.66205850546</v>
      </c>
      <c r="O27" s="7">
        <f t="shared" si="5"/>
        <v>8751.2799968246873</v>
      </c>
      <c r="P27" s="9" t="s">
        <v>68</v>
      </c>
    </row>
    <row r="28" spans="1:16" x14ac:dyDescent="0.25">
      <c r="A28">
        <v>8</v>
      </c>
      <c r="B28" t="s">
        <v>85</v>
      </c>
      <c r="C28">
        <v>1652</v>
      </c>
      <c r="D28">
        <v>1034.3699999999999</v>
      </c>
      <c r="E28">
        <v>1708780</v>
      </c>
      <c r="F28">
        <v>1034</v>
      </c>
      <c r="G28">
        <v>1708780</v>
      </c>
      <c r="H28">
        <v>205.833</v>
      </c>
      <c r="I28" s="7" t="s">
        <v>24</v>
      </c>
      <c r="J28" s="7"/>
      <c r="K28" s="8" t="s">
        <v>46</v>
      </c>
      <c r="L28" s="7">
        <f t="shared" si="6"/>
        <v>51.45825</v>
      </c>
      <c r="M28" s="7" t="s">
        <v>51</v>
      </c>
      <c r="N28" s="7"/>
      <c r="O28" s="7">
        <f t="shared" si="5"/>
        <v>0</v>
      </c>
      <c r="P28" s="9" t="s">
        <v>68</v>
      </c>
    </row>
    <row r="29" spans="1:16" x14ac:dyDescent="0.25">
      <c r="A29">
        <v>9</v>
      </c>
      <c r="B29" t="s">
        <v>86</v>
      </c>
      <c r="C29">
        <v>1616</v>
      </c>
      <c r="D29">
        <v>1033.27</v>
      </c>
      <c r="E29">
        <v>1669765</v>
      </c>
      <c r="F29">
        <v>1032</v>
      </c>
      <c r="G29">
        <v>1669765</v>
      </c>
      <c r="H29">
        <v>200.91</v>
      </c>
      <c r="I29" s="7" t="s">
        <v>24</v>
      </c>
      <c r="J29" s="7"/>
      <c r="K29" s="8" t="s">
        <v>46</v>
      </c>
      <c r="L29" s="7">
        <f t="shared" si="6"/>
        <v>50.227499999999999</v>
      </c>
      <c r="M29" s="7" t="s">
        <v>51</v>
      </c>
      <c r="N29" s="7"/>
      <c r="O29" s="7">
        <f t="shared" si="5"/>
        <v>0</v>
      </c>
      <c r="P29" s="9" t="s">
        <v>68</v>
      </c>
    </row>
    <row r="30" spans="1:16" x14ac:dyDescent="0.25">
      <c r="A30">
        <v>10</v>
      </c>
      <c r="B30" t="s">
        <v>87</v>
      </c>
      <c r="C30">
        <v>1631</v>
      </c>
      <c r="D30">
        <v>1034.1780000000001</v>
      </c>
      <c r="E30">
        <v>1686744</v>
      </c>
      <c r="F30">
        <v>1034</v>
      </c>
      <c r="G30">
        <v>1686744</v>
      </c>
      <c r="H30">
        <v>202.89599999999999</v>
      </c>
      <c r="I30" s="7" t="s">
        <v>24</v>
      </c>
      <c r="J30" s="7"/>
      <c r="K30" s="8" t="s">
        <v>46</v>
      </c>
      <c r="L30" s="7">
        <f t="shared" si="6"/>
        <v>50.723999999999997</v>
      </c>
      <c r="M30" s="7" t="s">
        <v>51</v>
      </c>
      <c r="N30" s="7"/>
      <c r="O30" s="7">
        <f t="shared" si="5"/>
        <v>0</v>
      </c>
      <c r="P30" s="9" t="s">
        <v>68</v>
      </c>
    </row>
    <row r="31" spans="1:16" x14ac:dyDescent="0.25">
      <c r="A31" s="2">
        <v>1</v>
      </c>
      <c r="B31" s="3" t="s">
        <v>88</v>
      </c>
      <c r="C31" s="3">
        <v>1680</v>
      </c>
      <c r="D31" s="3">
        <v>1177.55</v>
      </c>
      <c r="E31" s="3">
        <v>1978284</v>
      </c>
      <c r="F31" s="3">
        <v>1083</v>
      </c>
      <c r="G31" s="3">
        <v>1978284</v>
      </c>
      <c r="H31" s="3">
        <v>208.345</v>
      </c>
      <c r="I31" s="3" t="s">
        <v>41</v>
      </c>
      <c r="J31" s="3" t="s">
        <v>39</v>
      </c>
      <c r="K31" s="4" t="s">
        <v>45</v>
      </c>
      <c r="L31" s="3">
        <f t="shared" ref="L31:L35" si="8">H31/4</f>
        <v>52.08625</v>
      </c>
      <c r="M31" s="3" t="s">
        <v>52</v>
      </c>
      <c r="N31" s="3">
        <f>G31-(((G$38/C$38*C31)+(G$39/C$39*C31)+(G$40/C$40*C31))/3)</f>
        <v>238514.49348955345</v>
      </c>
      <c r="O31" s="7">
        <f t="shared" si="5"/>
        <v>4579.2218385764663</v>
      </c>
      <c r="P31" s="5" t="s">
        <v>68</v>
      </c>
    </row>
    <row r="32" spans="1:16" x14ac:dyDescent="0.25">
      <c r="A32" s="6">
        <v>2</v>
      </c>
      <c r="B32" s="7" t="s">
        <v>89</v>
      </c>
      <c r="C32" s="7">
        <v>1939</v>
      </c>
      <c r="D32" s="7">
        <v>1248.8720000000001</v>
      </c>
      <c r="E32" s="7">
        <v>2421562</v>
      </c>
      <c r="F32" s="7">
        <v>1103</v>
      </c>
      <c r="G32" s="7">
        <v>2421562</v>
      </c>
      <c r="H32" s="7">
        <v>241.732</v>
      </c>
      <c r="I32" s="7" t="s">
        <v>17</v>
      </c>
      <c r="J32" s="7" t="s">
        <v>39</v>
      </c>
      <c r="K32" s="8" t="s">
        <v>45</v>
      </c>
      <c r="L32" s="7">
        <f t="shared" si="8"/>
        <v>60.433</v>
      </c>
      <c r="M32" s="7" t="s">
        <v>52</v>
      </c>
      <c r="N32" s="7">
        <f>G32-(((G$38/C$38*C32)+(G$39/C$39*C32)+(G$40/C$40*C32))/3)</f>
        <v>413578.02790252608</v>
      </c>
      <c r="O32" s="7">
        <f t="shared" si="5"/>
        <v>6843.5793010859315</v>
      </c>
      <c r="P32" s="9" t="s">
        <v>68</v>
      </c>
    </row>
    <row r="33" spans="1:16" x14ac:dyDescent="0.25">
      <c r="A33" s="6">
        <v>3</v>
      </c>
      <c r="B33" s="7" t="s">
        <v>90</v>
      </c>
      <c r="C33" s="7">
        <v>2050</v>
      </c>
      <c r="D33" s="7">
        <v>1481.2829999999999</v>
      </c>
      <c r="E33" s="7">
        <v>3036631</v>
      </c>
      <c r="F33" s="7">
        <v>1145</v>
      </c>
      <c r="G33" s="7">
        <v>3036631</v>
      </c>
      <c r="H33" s="7">
        <v>255.65299999999999</v>
      </c>
      <c r="I33" s="7" t="s">
        <v>18</v>
      </c>
      <c r="J33" s="7" t="s">
        <v>39</v>
      </c>
      <c r="K33" s="8" t="s">
        <v>45</v>
      </c>
      <c r="L33" s="7">
        <f t="shared" si="8"/>
        <v>63.913249999999998</v>
      </c>
      <c r="M33" s="7" t="s">
        <v>52</v>
      </c>
      <c r="N33" s="7">
        <f t="shared" ref="N33:N37" si="9">G33-(((G$38/C$38*C33)+(G$39/C$39*C33)+(G$40/C$40*C33))/3)</f>
        <v>913697.97122237226</v>
      </c>
      <c r="O33" s="7">
        <f t="shared" si="5"/>
        <v>14295.908457516591</v>
      </c>
      <c r="P33" s="9" t="s">
        <v>68</v>
      </c>
    </row>
    <row r="34" spans="1:16" x14ac:dyDescent="0.25">
      <c r="A34" s="6">
        <v>4</v>
      </c>
      <c r="B34" s="7" t="s">
        <v>91</v>
      </c>
      <c r="C34" s="7">
        <v>2051</v>
      </c>
      <c r="D34" s="7">
        <v>1229.143</v>
      </c>
      <c r="E34" s="7">
        <v>2520972</v>
      </c>
      <c r="F34" s="7">
        <v>1099</v>
      </c>
      <c r="G34" s="7">
        <v>2520972</v>
      </c>
      <c r="H34" s="7">
        <v>255.095</v>
      </c>
      <c r="I34" s="7" t="s">
        <v>19</v>
      </c>
      <c r="J34" s="7" t="s">
        <v>39</v>
      </c>
      <c r="K34" s="8" t="s">
        <v>45</v>
      </c>
      <c r="L34" s="7">
        <f t="shared" si="8"/>
        <v>63.77375</v>
      </c>
      <c r="M34" s="7" t="s">
        <v>52</v>
      </c>
      <c r="N34" s="7">
        <f t="shared" si="9"/>
        <v>397003.39413516363</v>
      </c>
      <c r="O34" s="7">
        <f t="shared" si="5"/>
        <v>6225.1850351463354</v>
      </c>
      <c r="P34" s="9" t="s">
        <v>68</v>
      </c>
    </row>
    <row r="35" spans="1:16" x14ac:dyDescent="0.25">
      <c r="A35" s="6">
        <v>5</v>
      </c>
      <c r="B35" s="7" t="s">
        <v>92</v>
      </c>
      <c r="C35" s="7">
        <v>1636</v>
      </c>
      <c r="D35" s="7">
        <v>1347.066</v>
      </c>
      <c r="E35" s="7">
        <v>2203800</v>
      </c>
      <c r="F35" s="7">
        <v>1123</v>
      </c>
      <c r="G35" s="7">
        <v>2203800</v>
      </c>
      <c r="H35" s="7">
        <v>204.04400000000001</v>
      </c>
      <c r="I35" s="7" t="s">
        <v>20</v>
      </c>
      <c r="J35" s="7" t="s">
        <v>39</v>
      </c>
      <c r="K35" s="8" t="s">
        <v>45</v>
      </c>
      <c r="L35" s="7">
        <f t="shared" si="8"/>
        <v>51.011000000000003</v>
      </c>
      <c r="M35" s="7" t="s">
        <v>52</v>
      </c>
      <c r="N35" s="7">
        <f t="shared" si="9"/>
        <v>509595.88532673195</v>
      </c>
      <c r="O35" s="7">
        <f t="shared" si="5"/>
        <v>9989.9214939274261</v>
      </c>
      <c r="P35" s="9" t="s">
        <v>68</v>
      </c>
    </row>
    <row r="36" spans="1:16" x14ac:dyDescent="0.25">
      <c r="A36" s="6">
        <v>6</v>
      </c>
      <c r="B36" s="7" t="s">
        <v>93</v>
      </c>
      <c r="C36" s="7">
        <v>1932</v>
      </c>
      <c r="D36" s="7">
        <v>1309.4159999999999</v>
      </c>
      <c r="E36" s="7">
        <v>2529791</v>
      </c>
      <c r="F36" s="7">
        <v>1112</v>
      </c>
      <c r="G36" s="7">
        <v>2529791</v>
      </c>
      <c r="H36" s="7">
        <v>240.46799999999999</v>
      </c>
      <c r="I36" s="7" t="s">
        <v>21</v>
      </c>
      <c r="J36" s="7" t="s">
        <v>39</v>
      </c>
      <c r="K36" s="8" t="s">
        <v>45</v>
      </c>
      <c r="L36" s="7">
        <f>H36/4</f>
        <v>60.116999999999997</v>
      </c>
      <c r="M36" s="7" t="s">
        <v>52</v>
      </c>
      <c r="N36" s="7">
        <f t="shared" si="9"/>
        <v>529056.06751298625</v>
      </c>
      <c r="O36" s="7">
        <f t="shared" si="5"/>
        <v>8800.4402666963797</v>
      </c>
      <c r="P36" s="9" t="s">
        <v>68</v>
      </c>
    </row>
    <row r="37" spans="1:16" x14ac:dyDescent="0.25">
      <c r="A37" s="6">
        <v>7</v>
      </c>
      <c r="B37" s="7" t="s">
        <v>94</v>
      </c>
      <c r="C37" s="7">
        <v>1902</v>
      </c>
      <c r="D37" s="7">
        <v>1176.6669999999999</v>
      </c>
      <c r="E37" s="7">
        <v>2238021</v>
      </c>
      <c r="F37" s="7">
        <v>1075</v>
      </c>
      <c r="G37" s="7">
        <v>2238021</v>
      </c>
      <c r="H37" s="7">
        <v>236.774</v>
      </c>
      <c r="I37" s="7" t="s">
        <v>22</v>
      </c>
      <c r="J37" s="7" t="s">
        <v>39</v>
      </c>
      <c r="K37" s="8" t="s">
        <v>45</v>
      </c>
      <c r="L37" s="7">
        <f>H37/4</f>
        <v>59.1935</v>
      </c>
      <c r="M37" s="7" t="s">
        <v>52</v>
      </c>
      <c r="N37" s="7">
        <f t="shared" si="9"/>
        <v>268353.38012924441</v>
      </c>
      <c r="O37" s="7">
        <f t="shared" si="5"/>
        <v>4533.4940513611191</v>
      </c>
      <c r="P37" s="9" t="s">
        <v>68</v>
      </c>
    </row>
    <row r="38" spans="1:16" x14ac:dyDescent="0.25">
      <c r="A38" s="6">
        <v>8</v>
      </c>
      <c r="B38" s="7" t="s">
        <v>95</v>
      </c>
      <c r="C38" s="7">
        <v>1656</v>
      </c>
      <c r="D38" s="7">
        <v>1033.5889999999999</v>
      </c>
      <c r="E38" s="7">
        <v>1711624</v>
      </c>
      <c r="F38" s="7">
        <v>1033</v>
      </c>
      <c r="G38" s="7">
        <v>1711624</v>
      </c>
      <c r="H38" s="7">
        <v>206.339</v>
      </c>
      <c r="I38" s="7" t="s">
        <v>24</v>
      </c>
      <c r="J38" s="7"/>
      <c r="K38" s="8" t="s">
        <v>45</v>
      </c>
      <c r="L38" s="7">
        <f t="shared" ref="L38:L45" si="10">H38/4</f>
        <v>51.58475</v>
      </c>
      <c r="M38" s="7" t="s">
        <v>52</v>
      </c>
      <c r="N38" s="7"/>
      <c r="O38" s="7">
        <f t="shared" si="5"/>
        <v>0</v>
      </c>
      <c r="P38" s="9" t="s">
        <v>68</v>
      </c>
    </row>
    <row r="39" spans="1:16" x14ac:dyDescent="0.25">
      <c r="A39" s="6">
        <v>9</v>
      </c>
      <c r="B39" s="7" t="s">
        <v>96</v>
      </c>
      <c r="C39" s="7">
        <v>1792</v>
      </c>
      <c r="D39" s="7">
        <v>1034.798</v>
      </c>
      <c r="E39" s="7">
        <v>1854358</v>
      </c>
      <c r="F39" s="7">
        <v>1035</v>
      </c>
      <c r="G39" s="7">
        <v>1854358</v>
      </c>
      <c r="H39" s="7">
        <v>222.86</v>
      </c>
      <c r="I39" s="7" t="s">
        <v>24</v>
      </c>
      <c r="J39" s="7"/>
      <c r="K39" s="8" t="s">
        <v>45</v>
      </c>
      <c r="L39" s="7">
        <f t="shared" si="10"/>
        <v>55.715000000000003</v>
      </c>
      <c r="M39" s="7" t="s">
        <v>52</v>
      </c>
      <c r="N39" s="7"/>
      <c r="O39" s="7">
        <f t="shared" si="5"/>
        <v>0</v>
      </c>
      <c r="P39" s="9" t="s">
        <v>68</v>
      </c>
    </row>
    <row r="40" spans="1:16" x14ac:dyDescent="0.25">
      <c r="A40" s="10">
        <v>10</v>
      </c>
      <c r="B40" s="11" t="s">
        <v>97</v>
      </c>
      <c r="C40" s="11">
        <v>1893</v>
      </c>
      <c r="D40" s="11">
        <v>1038.3440000000001</v>
      </c>
      <c r="E40" s="11">
        <v>1965585</v>
      </c>
      <c r="F40" s="11">
        <v>1037</v>
      </c>
      <c r="G40" s="11">
        <v>1965585</v>
      </c>
      <c r="H40" s="11">
        <v>235.363</v>
      </c>
      <c r="I40" s="7" t="s">
        <v>24</v>
      </c>
      <c r="J40" s="7"/>
      <c r="K40" s="8" t="s">
        <v>45</v>
      </c>
      <c r="L40" s="7">
        <f t="shared" si="10"/>
        <v>58.84075</v>
      </c>
      <c r="M40" s="7" t="s">
        <v>52</v>
      </c>
      <c r="N40" s="7"/>
      <c r="O40" s="7">
        <f t="shared" si="5"/>
        <v>0</v>
      </c>
      <c r="P40" s="9" t="s">
        <v>68</v>
      </c>
    </row>
    <row r="41" spans="1:16" x14ac:dyDescent="0.25">
      <c r="A41">
        <v>1</v>
      </c>
      <c r="B41" t="s">
        <v>98</v>
      </c>
      <c r="C41">
        <v>1953</v>
      </c>
      <c r="D41">
        <v>1281.4480000000001</v>
      </c>
      <c r="E41">
        <v>2502667</v>
      </c>
      <c r="F41">
        <v>1103</v>
      </c>
      <c r="G41">
        <v>2502667</v>
      </c>
      <c r="H41">
        <v>242.78100000000001</v>
      </c>
      <c r="I41" s="2" t="s">
        <v>25</v>
      </c>
      <c r="J41" s="3" t="s">
        <v>39</v>
      </c>
      <c r="K41" s="4" t="s">
        <v>45</v>
      </c>
      <c r="L41" s="3">
        <f t="shared" si="10"/>
        <v>60.695250000000001</v>
      </c>
      <c r="M41" s="3" t="s">
        <v>53</v>
      </c>
      <c r="N41" s="3">
        <f>G41-(((G$48/C$48*C41)+(G$49/C$49*C41)+(G$50/C$50*C41))/3)</f>
        <v>482755.16747432272</v>
      </c>
      <c r="O41" s="7">
        <f t="shared" si="5"/>
        <v>7953.7553181562434</v>
      </c>
      <c r="P41" s="5" t="s">
        <v>68</v>
      </c>
    </row>
    <row r="42" spans="1:16" x14ac:dyDescent="0.25">
      <c r="A42">
        <v>2</v>
      </c>
      <c r="B42" t="s">
        <v>99</v>
      </c>
      <c r="C42">
        <v>1487</v>
      </c>
      <c r="D42">
        <v>1215.354</v>
      </c>
      <c r="E42">
        <v>1807231</v>
      </c>
      <c r="F42">
        <v>1087</v>
      </c>
      <c r="G42">
        <v>1807231</v>
      </c>
      <c r="H42">
        <v>185.13200000000001</v>
      </c>
      <c r="I42" s="6" t="s">
        <v>26</v>
      </c>
      <c r="J42" s="7" t="s">
        <v>39</v>
      </c>
      <c r="K42" s="8" t="s">
        <v>45</v>
      </c>
      <c r="L42" s="7">
        <f t="shared" si="10"/>
        <v>46.283000000000001</v>
      </c>
      <c r="M42" s="7" t="s">
        <v>53</v>
      </c>
      <c r="N42" s="3">
        <f>G42-(((G$48/C$48*C42)+(G$49/C$49*C42)+(G$50/C$50*C42))/3)</f>
        <v>269284.81722187251</v>
      </c>
      <c r="O42" s="7">
        <f t="shared" si="5"/>
        <v>5818.223045651157</v>
      </c>
      <c r="P42" s="9" t="s">
        <v>68</v>
      </c>
    </row>
    <row r="43" spans="1:16" x14ac:dyDescent="0.25">
      <c r="A43">
        <v>3</v>
      </c>
      <c r="B43" t="s">
        <v>100</v>
      </c>
      <c r="C43">
        <v>1869</v>
      </c>
      <c r="D43">
        <v>1217.2729999999999</v>
      </c>
      <c r="E43">
        <v>2275084</v>
      </c>
      <c r="F43">
        <v>1094</v>
      </c>
      <c r="G43">
        <v>2275084</v>
      </c>
      <c r="H43">
        <v>232.15600000000001</v>
      </c>
      <c r="I43" s="6" t="s">
        <v>27</v>
      </c>
      <c r="J43" s="7" t="s">
        <v>39</v>
      </c>
      <c r="K43" s="8" t="s">
        <v>45</v>
      </c>
      <c r="L43" s="7">
        <f t="shared" si="10"/>
        <v>58.039000000000001</v>
      </c>
      <c r="M43" s="7" t="s">
        <v>53</v>
      </c>
      <c r="N43" s="3">
        <f>G43-(((G$48/C$48*C43)+(G$49/C$49*C43)+(G$50/C$50*C43))/3)</f>
        <v>342050.09575499664</v>
      </c>
      <c r="O43" s="7">
        <f t="shared" si="5"/>
        <v>5893.4526052309075</v>
      </c>
      <c r="P43" s="9" t="s">
        <v>68</v>
      </c>
    </row>
    <row r="44" spans="1:16" x14ac:dyDescent="0.25">
      <c r="A44">
        <v>4</v>
      </c>
      <c r="B44" t="s">
        <v>101</v>
      </c>
      <c r="C44">
        <v>1638</v>
      </c>
      <c r="D44">
        <v>1231.3510000000001</v>
      </c>
      <c r="E44">
        <v>2016953</v>
      </c>
      <c r="F44">
        <v>1094</v>
      </c>
      <c r="G44">
        <v>2016953</v>
      </c>
      <c r="H44">
        <v>203.286</v>
      </c>
      <c r="I44" s="6" t="s">
        <v>28</v>
      </c>
      <c r="J44" s="7" t="s">
        <v>39</v>
      </c>
      <c r="K44" s="8" t="s">
        <v>45</v>
      </c>
      <c r="L44" s="7">
        <f t="shared" si="10"/>
        <v>50.8215</v>
      </c>
      <c r="M44" s="7" t="s">
        <v>53</v>
      </c>
      <c r="N44" s="3">
        <f t="shared" ref="N44:N47" si="11">G44-(((G$48/C$48*C44)+(G$49/C$49*C44)+(G$50/C$50*C44))/3)</f>
        <v>322833.39852685109</v>
      </c>
      <c r="O44" s="7">
        <f t="shared" si="5"/>
        <v>6352.2996866847907</v>
      </c>
      <c r="P44" s="9" t="s">
        <v>68</v>
      </c>
    </row>
    <row r="45" spans="1:16" x14ac:dyDescent="0.25">
      <c r="A45">
        <v>5</v>
      </c>
      <c r="B45" t="s">
        <v>102</v>
      </c>
      <c r="C45">
        <v>2023</v>
      </c>
      <c r="D45">
        <v>1307.8900000000001</v>
      </c>
      <c r="E45">
        <v>2645862</v>
      </c>
      <c r="F45">
        <v>1106</v>
      </c>
      <c r="G45">
        <v>2645862</v>
      </c>
      <c r="H45">
        <v>251.791</v>
      </c>
      <c r="I45" s="6" t="s">
        <v>29</v>
      </c>
      <c r="J45" s="7" t="s">
        <v>39</v>
      </c>
      <c r="K45" s="8" t="s">
        <v>45</v>
      </c>
      <c r="L45" s="7">
        <f t="shared" si="10"/>
        <v>62.947749999999999</v>
      </c>
      <c r="M45" s="7" t="s">
        <v>53</v>
      </c>
      <c r="N45" s="3">
        <f t="shared" si="11"/>
        <v>553551.89390709368</v>
      </c>
      <c r="O45" s="7">
        <f t="shared" si="5"/>
        <v>8793.831295115293</v>
      </c>
      <c r="P45" s="9" t="s">
        <v>68</v>
      </c>
    </row>
    <row r="46" spans="1:16" x14ac:dyDescent="0.25">
      <c r="A46">
        <v>6</v>
      </c>
      <c r="B46" t="s">
        <v>103</v>
      </c>
      <c r="C46">
        <v>1727</v>
      </c>
      <c r="D46">
        <v>1216.0540000000001</v>
      </c>
      <c r="E46">
        <v>2100125</v>
      </c>
      <c r="F46">
        <v>1085</v>
      </c>
      <c r="G46">
        <v>2100125</v>
      </c>
      <c r="H46">
        <v>214.90899999999999</v>
      </c>
      <c r="I46" s="6" t="s">
        <v>30</v>
      </c>
      <c r="J46" s="7" t="s">
        <v>39</v>
      </c>
      <c r="K46" s="8" t="s">
        <v>45</v>
      </c>
      <c r="L46" s="7">
        <f>H46/4</f>
        <v>53.727249999999998</v>
      </c>
      <c r="M46" s="7" t="s">
        <v>53</v>
      </c>
      <c r="N46" s="3">
        <f t="shared" si="11"/>
        <v>313956.16499137436</v>
      </c>
      <c r="O46" s="7">
        <f t="shared" si="5"/>
        <v>5843.5182331382002</v>
      </c>
      <c r="P46" s="9" t="s">
        <v>68</v>
      </c>
    </row>
    <row r="47" spans="1:16" x14ac:dyDescent="0.25">
      <c r="A47">
        <v>7</v>
      </c>
      <c r="B47" t="s">
        <v>104</v>
      </c>
      <c r="C47">
        <v>1843</v>
      </c>
      <c r="D47">
        <v>1247.4760000000001</v>
      </c>
      <c r="E47">
        <v>2299098</v>
      </c>
      <c r="F47">
        <v>1090</v>
      </c>
      <c r="G47">
        <v>2299098</v>
      </c>
      <c r="H47">
        <v>229.60400000000001</v>
      </c>
      <c r="I47" s="6" t="s">
        <v>31</v>
      </c>
      <c r="J47" s="7" t="s">
        <v>39</v>
      </c>
      <c r="K47" s="8" t="s">
        <v>45</v>
      </c>
      <c r="L47" s="7">
        <f>H47/4</f>
        <v>57.401000000000003</v>
      </c>
      <c r="M47" s="7" t="s">
        <v>53</v>
      </c>
      <c r="N47" s="3">
        <f t="shared" si="11"/>
        <v>392954.88307996723</v>
      </c>
      <c r="O47" s="7">
        <f t="shared" si="5"/>
        <v>6845.7846218701279</v>
      </c>
      <c r="P47" s="9" t="s">
        <v>68</v>
      </c>
    </row>
    <row r="48" spans="1:16" x14ac:dyDescent="0.25">
      <c r="A48">
        <v>8</v>
      </c>
      <c r="B48" t="s">
        <v>105</v>
      </c>
      <c r="C48">
        <v>1258</v>
      </c>
      <c r="D48">
        <v>1033.81</v>
      </c>
      <c r="E48">
        <v>1300533</v>
      </c>
      <c r="F48">
        <v>1034</v>
      </c>
      <c r="G48">
        <v>1300533</v>
      </c>
      <c r="H48">
        <v>156.374</v>
      </c>
      <c r="I48" s="6" t="s">
        <v>24</v>
      </c>
      <c r="J48" s="7"/>
      <c r="K48" s="8" t="s">
        <v>45</v>
      </c>
      <c r="L48" s="7">
        <f t="shared" ref="L48:L59" si="12">H48/4</f>
        <v>39.093499999999999</v>
      </c>
      <c r="M48" s="7" t="s">
        <v>53</v>
      </c>
      <c r="N48" s="7"/>
      <c r="O48" s="7">
        <f t="shared" si="5"/>
        <v>0</v>
      </c>
      <c r="P48" s="9" t="s">
        <v>68</v>
      </c>
    </row>
    <row r="49" spans="1:16" x14ac:dyDescent="0.25">
      <c r="A49">
        <v>9</v>
      </c>
      <c r="B49" t="s">
        <v>106</v>
      </c>
      <c r="C49">
        <v>1467</v>
      </c>
      <c r="D49">
        <v>1034.8879999999999</v>
      </c>
      <c r="E49">
        <v>1518181</v>
      </c>
      <c r="F49">
        <v>1035</v>
      </c>
      <c r="G49">
        <v>1518181</v>
      </c>
      <c r="H49">
        <v>182.565</v>
      </c>
      <c r="I49" s="6" t="s">
        <v>24</v>
      </c>
      <c r="J49" s="7"/>
      <c r="K49" s="8" t="s">
        <v>45</v>
      </c>
      <c r="L49" s="7">
        <f t="shared" si="12"/>
        <v>45.641249999999999</v>
      </c>
      <c r="M49" s="7" t="s">
        <v>53</v>
      </c>
      <c r="N49" s="7"/>
      <c r="O49" s="7">
        <f t="shared" si="5"/>
        <v>0</v>
      </c>
      <c r="P49" s="9" t="s">
        <v>68</v>
      </c>
    </row>
    <row r="50" spans="1:16" x14ac:dyDescent="0.25">
      <c r="A50">
        <v>10</v>
      </c>
      <c r="B50" t="s">
        <v>107</v>
      </c>
      <c r="C50">
        <v>1566</v>
      </c>
      <c r="D50">
        <v>1034.085</v>
      </c>
      <c r="E50">
        <v>1619377</v>
      </c>
      <c r="F50">
        <v>1033</v>
      </c>
      <c r="G50">
        <v>1619377</v>
      </c>
      <c r="H50">
        <v>193.85599999999999</v>
      </c>
      <c r="I50" s="6" t="s">
        <v>24</v>
      </c>
      <c r="J50" s="7"/>
      <c r="K50" s="8" t="s">
        <v>45</v>
      </c>
      <c r="L50" s="7">
        <f t="shared" si="12"/>
        <v>48.463999999999999</v>
      </c>
      <c r="M50" s="7" t="s">
        <v>53</v>
      </c>
      <c r="N50" s="7"/>
      <c r="O50" s="7">
        <f t="shared" si="5"/>
        <v>0</v>
      </c>
      <c r="P50" s="9" t="s">
        <v>68</v>
      </c>
    </row>
    <row r="51" spans="1:16" x14ac:dyDescent="0.25">
      <c r="A51" s="2">
        <v>1</v>
      </c>
      <c r="B51" s="3" t="s">
        <v>108</v>
      </c>
      <c r="C51" s="3">
        <v>2020</v>
      </c>
      <c r="D51" s="3">
        <v>1226.691</v>
      </c>
      <c r="E51" s="3">
        <v>2477916</v>
      </c>
      <c r="F51" s="3">
        <v>1098</v>
      </c>
      <c r="G51" s="3">
        <v>2477916</v>
      </c>
      <c r="H51" s="3">
        <v>252.51400000000001</v>
      </c>
      <c r="I51" s="7" t="s">
        <v>32</v>
      </c>
      <c r="J51" s="3" t="s">
        <v>39</v>
      </c>
      <c r="K51" s="4" t="s">
        <v>45</v>
      </c>
      <c r="L51" s="7">
        <f t="shared" si="12"/>
        <v>63.128500000000003</v>
      </c>
      <c r="M51" s="3" t="s">
        <v>54</v>
      </c>
      <c r="N51" s="3">
        <f>G51-(((G$57/C$57*C51)+(G$58/C$58*C51)+(G$59/C$59*C51))/3)</f>
        <v>387253.37130859937</v>
      </c>
      <c r="O51" s="7">
        <f t="shared" si="5"/>
        <v>6134.3667489105455</v>
      </c>
      <c r="P51" s="5" t="s">
        <v>68</v>
      </c>
    </row>
    <row r="52" spans="1:16" x14ac:dyDescent="0.25">
      <c r="A52" s="6">
        <v>2</v>
      </c>
      <c r="B52" s="7" t="s">
        <v>109</v>
      </c>
      <c r="C52" s="7">
        <v>2117</v>
      </c>
      <c r="D52" s="7">
        <v>1229.356</v>
      </c>
      <c r="E52" s="7">
        <v>2602547</v>
      </c>
      <c r="F52" s="7">
        <v>1103</v>
      </c>
      <c r="G52" s="7">
        <v>2602547</v>
      </c>
      <c r="H52" s="7">
        <v>264.09800000000001</v>
      </c>
      <c r="I52" s="7" t="s">
        <v>33</v>
      </c>
      <c r="J52" s="7" t="s">
        <v>39</v>
      </c>
      <c r="K52" s="8" t="s">
        <v>45</v>
      </c>
      <c r="L52" s="7">
        <f t="shared" si="12"/>
        <v>66.024500000000003</v>
      </c>
      <c r="M52" s="7" t="s">
        <v>54</v>
      </c>
      <c r="N52" s="3">
        <f>G52-(((G$57/C$57*C52)+(G$58/C$58*C52)+(G$59/C$59*C52))/3)</f>
        <v>411491.1658714381</v>
      </c>
      <c r="O52" s="7">
        <f t="shared" si="5"/>
        <v>6232.4010915862764</v>
      </c>
      <c r="P52" s="9" t="s">
        <v>68</v>
      </c>
    </row>
    <row r="53" spans="1:16" x14ac:dyDescent="0.25">
      <c r="A53" s="6">
        <v>3</v>
      </c>
      <c r="B53" s="7" t="s">
        <v>110</v>
      </c>
      <c r="C53" s="7">
        <v>1919</v>
      </c>
      <c r="D53" s="7">
        <v>1239.261</v>
      </c>
      <c r="E53" s="7">
        <v>2378142</v>
      </c>
      <c r="F53" s="7">
        <v>1100</v>
      </c>
      <c r="G53" s="7">
        <v>2378142</v>
      </c>
      <c r="H53" s="7">
        <v>240.00299999999999</v>
      </c>
      <c r="I53" s="7" t="s">
        <v>44</v>
      </c>
      <c r="J53" s="7" t="s">
        <v>39</v>
      </c>
      <c r="K53" s="8" t="s">
        <v>45</v>
      </c>
      <c r="L53" s="7">
        <f t="shared" si="12"/>
        <v>60.000749999999996</v>
      </c>
      <c r="M53" s="7" t="s">
        <v>54</v>
      </c>
      <c r="N53" s="3">
        <f t="shared" ref="N53:N56" si="13">G53-(((G$57/C$57*C53)+(G$58/C$58*C53)+(G$59/C$59*C53))/3)</f>
        <v>392012.50274316943</v>
      </c>
      <c r="O53" s="7">
        <f t="shared" si="5"/>
        <v>6533.460044135606</v>
      </c>
      <c r="P53" s="9" t="s">
        <v>68</v>
      </c>
    </row>
    <row r="54" spans="1:16" x14ac:dyDescent="0.25">
      <c r="A54" s="6">
        <v>4</v>
      </c>
      <c r="B54" s="7" t="s">
        <v>111</v>
      </c>
      <c r="C54" s="7">
        <v>1609</v>
      </c>
      <c r="D54" s="7">
        <v>1242.806</v>
      </c>
      <c r="E54" s="7">
        <v>1999675</v>
      </c>
      <c r="F54" s="7">
        <v>1094</v>
      </c>
      <c r="G54" s="7">
        <v>1999675</v>
      </c>
      <c r="H54" s="7">
        <v>200.428</v>
      </c>
      <c r="I54" s="7" t="s">
        <v>34</v>
      </c>
      <c r="J54" s="7" t="s">
        <v>39</v>
      </c>
      <c r="K54" s="8" t="s">
        <v>45</v>
      </c>
      <c r="L54" s="7">
        <f t="shared" si="12"/>
        <v>50.106999999999999</v>
      </c>
      <c r="M54" s="7" t="s">
        <v>54</v>
      </c>
      <c r="N54" s="3">
        <f t="shared" si="13"/>
        <v>334389.76754234452</v>
      </c>
      <c r="O54" s="7">
        <f t="shared" si="5"/>
        <v>6673.5140308209338</v>
      </c>
      <c r="P54" s="9" t="s">
        <v>68</v>
      </c>
    </row>
    <row r="55" spans="1:16" x14ac:dyDescent="0.25">
      <c r="A55" s="6">
        <v>5</v>
      </c>
      <c r="B55" s="7" t="s">
        <v>112</v>
      </c>
      <c r="C55" s="7">
        <v>2026</v>
      </c>
      <c r="D55" s="7">
        <v>1234.6369999999999</v>
      </c>
      <c r="E55" s="7">
        <v>2501374</v>
      </c>
      <c r="F55" s="7">
        <v>1092</v>
      </c>
      <c r="G55" s="7">
        <v>2501374</v>
      </c>
      <c r="H55" s="7">
        <v>252.505</v>
      </c>
      <c r="I55" s="7" t="s">
        <v>37</v>
      </c>
      <c r="J55" s="7" t="s">
        <v>39</v>
      </c>
      <c r="K55" s="8" t="s">
        <v>45</v>
      </c>
      <c r="L55" s="7">
        <f t="shared" si="12"/>
        <v>63.126249999999999</v>
      </c>
      <c r="M55" s="7" t="s">
        <v>54</v>
      </c>
      <c r="N55" s="3">
        <f t="shared" si="13"/>
        <v>404501.48231248627</v>
      </c>
      <c r="O55" s="7">
        <f t="shared" si="5"/>
        <v>6407.8173867842024</v>
      </c>
      <c r="P55" s="9" t="s">
        <v>68</v>
      </c>
    </row>
    <row r="56" spans="1:16" x14ac:dyDescent="0.25">
      <c r="A56" s="6">
        <v>6</v>
      </c>
      <c r="B56" s="7" t="s">
        <v>113</v>
      </c>
      <c r="C56" s="7">
        <v>2074</v>
      </c>
      <c r="D56" s="7">
        <v>1377.6510000000001</v>
      </c>
      <c r="E56" s="7">
        <v>2857248</v>
      </c>
      <c r="F56" s="7">
        <v>1131</v>
      </c>
      <c r="G56" s="7">
        <v>2857248</v>
      </c>
      <c r="H56" s="7">
        <v>258.58100000000002</v>
      </c>
      <c r="I56" s="7" t="s">
        <v>38</v>
      </c>
      <c r="J56" s="7" t="s">
        <v>39</v>
      </c>
      <c r="K56" s="8" t="s">
        <v>45</v>
      </c>
      <c r="L56" s="7">
        <f t="shared" si="12"/>
        <v>64.645250000000004</v>
      </c>
      <c r="M56" s="7" t="s">
        <v>54</v>
      </c>
      <c r="N56" s="3">
        <f t="shared" si="13"/>
        <v>710696.37034358131</v>
      </c>
      <c r="O56" s="7">
        <f t="shared" si="5"/>
        <v>10993.791041779268</v>
      </c>
      <c r="P56" s="9" t="s">
        <v>68</v>
      </c>
    </row>
    <row r="57" spans="1:16" x14ac:dyDescent="0.25">
      <c r="A57" s="6">
        <v>7</v>
      </c>
      <c r="B57" s="7" t="s">
        <v>114</v>
      </c>
      <c r="C57" s="7">
        <v>1635</v>
      </c>
      <c r="D57" s="7">
        <v>1033.3</v>
      </c>
      <c r="E57" s="7">
        <v>1689446</v>
      </c>
      <c r="F57" s="7">
        <v>1033</v>
      </c>
      <c r="G57" s="7">
        <v>1689446</v>
      </c>
      <c r="H57" s="7">
        <v>202.98699999999999</v>
      </c>
      <c r="I57" s="7" t="s">
        <v>24</v>
      </c>
      <c r="J57" s="7"/>
      <c r="K57" s="8" t="s">
        <v>45</v>
      </c>
      <c r="L57" s="7">
        <f t="shared" si="12"/>
        <v>50.746749999999999</v>
      </c>
      <c r="M57" s="7" t="s">
        <v>54</v>
      </c>
      <c r="N57" s="7"/>
      <c r="O57" s="7">
        <f t="shared" si="5"/>
        <v>0</v>
      </c>
      <c r="P57" s="9" t="s">
        <v>68</v>
      </c>
    </row>
    <row r="58" spans="1:16" x14ac:dyDescent="0.25">
      <c r="A58" s="6">
        <v>8</v>
      </c>
      <c r="B58" s="7" t="s">
        <v>115</v>
      </c>
      <c r="C58" s="7">
        <v>1480</v>
      </c>
      <c r="D58" s="7">
        <v>1035.357</v>
      </c>
      <c r="E58" s="7">
        <v>1532329</v>
      </c>
      <c r="F58" s="7">
        <v>1035</v>
      </c>
      <c r="G58" s="7">
        <v>1532329</v>
      </c>
      <c r="H58" s="7">
        <v>184.17500000000001</v>
      </c>
      <c r="I58" s="7" t="s">
        <v>24</v>
      </c>
      <c r="J58" s="7"/>
      <c r="K58" s="8" t="s">
        <v>45</v>
      </c>
      <c r="L58" s="7">
        <f t="shared" si="12"/>
        <v>46.043750000000003</v>
      </c>
      <c r="M58" s="7" t="s">
        <v>54</v>
      </c>
      <c r="N58" s="7"/>
      <c r="O58" s="7">
        <f t="shared" si="5"/>
        <v>0</v>
      </c>
      <c r="P58" s="9" t="s">
        <v>68</v>
      </c>
    </row>
    <row r="59" spans="1:16" x14ac:dyDescent="0.25">
      <c r="A59" s="6">
        <v>9</v>
      </c>
      <c r="B59" s="7" t="s">
        <v>116</v>
      </c>
      <c r="C59" s="7">
        <v>1503</v>
      </c>
      <c r="D59" s="7">
        <v>1036.287</v>
      </c>
      <c r="E59" s="7">
        <v>1557539</v>
      </c>
      <c r="F59" s="7">
        <v>1036</v>
      </c>
      <c r="G59" s="7">
        <v>1557539</v>
      </c>
      <c r="H59" s="7">
        <v>187.09100000000001</v>
      </c>
      <c r="I59" s="7" t="s">
        <v>24</v>
      </c>
      <c r="J59" s="7"/>
      <c r="K59" s="8" t="s">
        <v>45</v>
      </c>
      <c r="L59" s="7">
        <f t="shared" si="12"/>
        <v>46.772750000000002</v>
      </c>
      <c r="M59" s="7" t="s">
        <v>54</v>
      </c>
      <c r="N59" s="7"/>
      <c r="O59" s="7">
        <f t="shared" si="5"/>
        <v>0</v>
      </c>
      <c r="P59" s="9" t="s">
        <v>68</v>
      </c>
    </row>
    <row r="60" spans="1:16" x14ac:dyDescent="0.25">
      <c r="A60" s="2">
        <v>1</v>
      </c>
      <c r="B60" s="3" t="s">
        <v>117</v>
      </c>
      <c r="C60" s="3">
        <v>2052</v>
      </c>
      <c r="D60" s="3">
        <v>1371.1659999999999</v>
      </c>
      <c r="E60" s="3">
        <v>2813633</v>
      </c>
      <c r="F60" s="3">
        <v>1135</v>
      </c>
      <c r="G60" s="3">
        <v>2813633</v>
      </c>
      <c r="H60" s="3">
        <v>255.851</v>
      </c>
      <c r="I60" s="3" t="s">
        <v>41</v>
      </c>
      <c r="J60" s="3" t="s">
        <v>39</v>
      </c>
      <c r="K60" s="8" t="s">
        <v>47</v>
      </c>
      <c r="L60" s="3">
        <f t="shared" ref="L60:L70" si="14">H60/4</f>
        <v>63.96275</v>
      </c>
      <c r="M60" s="7" t="s">
        <v>42</v>
      </c>
      <c r="N60" s="7">
        <f>G60-(((G$68/C$68*C60)+(G$69/C$69*C60)+(G$70/C$70*C60))/3)</f>
        <v>684849.75516530871</v>
      </c>
      <c r="O60" s="7">
        <f t="shared" si="5"/>
        <v>10707.009238428753</v>
      </c>
      <c r="P60" s="5" t="s">
        <v>68</v>
      </c>
    </row>
    <row r="61" spans="1:16" x14ac:dyDescent="0.25">
      <c r="A61" s="6">
        <v>2</v>
      </c>
      <c r="B61" s="7" t="s">
        <v>118</v>
      </c>
      <c r="C61" s="7">
        <v>1725</v>
      </c>
      <c r="D61" s="7">
        <v>1459.9390000000001</v>
      </c>
      <c r="E61" s="7">
        <v>2518395</v>
      </c>
      <c r="F61" s="7">
        <v>1146</v>
      </c>
      <c r="G61" s="7">
        <v>2518395</v>
      </c>
      <c r="H61" s="7">
        <v>214.327</v>
      </c>
      <c r="I61" s="7" t="s">
        <v>17</v>
      </c>
      <c r="J61" s="7" t="s">
        <v>39</v>
      </c>
      <c r="K61" s="8" t="s">
        <v>47</v>
      </c>
      <c r="L61" s="7">
        <f t="shared" si="14"/>
        <v>53.58175</v>
      </c>
      <c r="M61" s="7" t="s">
        <v>42</v>
      </c>
      <c r="N61" s="7">
        <f>G61-(((G$68/C$68*C61)+(G$69/C$69*C61)+(G$70/C$70*C61))/3)</f>
        <v>728847.6816082641</v>
      </c>
      <c r="O61" s="7">
        <f t="shared" si="5"/>
        <v>13602.535968091077</v>
      </c>
      <c r="P61" s="9" t="s">
        <v>68</v>
      </c>
    </row>
    <row r="62" spans="1:16" x14ac:dyDescent="0.25">
      <c r="A62" s="6">
        <v>3</v>
      </c>
      <c r="B62" s="7" t="s">
        <v>119</v>
      </c>
      <c r="C62" s="7">
        <v>2100</v>
      </c>
      <c r="D62" s="7">
        <v>1406.2149999999999</v>
      </c>
      <c r="E62" s="7">
        <v>2953052</v>
      </c>
      <c r="F62" s="7">
        <v>1149</v>
      </c>
      <c r="G62" s="7">
        <v>2953052</v>
      </c>
      <c r="H62" s="7">
        <v>261.68900000000002</v>
      </c>
      <c r="I62" s="7" t="s">
        <v>18</v>
      </c>
      <c r="J62" s="7" t="s">
        <v>39</v>
      </c>
      <c r="K62" s="8" t="s">
        <v>47</v>
      </c>
      <c r="L62" s="7">
        <f t="shared" si="14"/>
        <v>65.422250000000005</v>
      </c>
      <c r="M62" s="7" t="s">
        <v>42</v>
      </c>
      <c r="N62" s="7">
        <f t="shared" ref="N62:N67" si="15">G62-(((G$68/C$68*C62)+(G$69/C$69*C62)+(G$70/C$70*C62))/3)</f>
        <v>774472.65587092983</v>
      </c>
      <c r="O62" s="7">
        <f t="shared" si="5"/>
        <v>11838.062064067344</v>
      </c>
      <c r="P62" s="9" t="s">
        <v>68</v>
      </c>
    </row>
    <row r="63" spans="1:16" x14ac:dyDescent="0.25">
      <c r="A63" s="6">
        <v>4</v>
      </c>
      <c r="B63" s="7" t="s">
        <v>120</v>
      </c>
      <c r="C63" s="7">
        <v>2123</v>
      </c>
      <c r="D63" s="7">
        <v>1332.9649999999999</v>
      </c>
      <c r="E63" s="7">
        <v>2829885</v>
      </c>
      <c r="F63" s="7">
        <v>1129</v>
      </c>
      <c r="G63" s="7">
        <v>2829885</v>
      </c>
      <c r="H63" s="7">
        <v>265.40499999999997</v>
      </c>
      <c r="I63" s="7" t="s">
        <v>19</v>
      </c>
      <c r="J63" s="7" t="s">
        <v>39</v>
      </c>
      <c r="K63" s="8" t="s">
        <v>47</v>
      </c>
      <c r="L63" s="7">
        <f t="shared" si="14"/>
        <v>66.351249999999993</v>
      </c>
      <c r="M63" s="7" t="s">
        <v>42</v>
      </c>
      <c r="N63" s="7">
        <f t="shared" si="15"/>
        <v>627445.02495904034</v>
      </c>
      <c r="O63" s="7">
        <f t="shared" si="5"/>
        <v>9456.416042788047</v>
      </c>
      <c r="P63" s="9" t="s">
        <v>68</v>
      </c>
    </row>
    <row r="64" spans="1:16" x14ac:dyDescent="0.25">
      <c r="A64" s="6">
        <v>5</v>
      </c>
      <c r="B64" s="7" t="s">
        <v>121</v>
      </c>
      <c r="C64" s="7">
        <v>1955</v>
      </c>
      <c r="D64" s="7">
        <v>1440.8340000000001</v>
      </c>
      <c r="E64" s="7">
        <v>2816830</v>
      </c>
      <c r="F64" s="7">
        <v>1146</v>
      </c>
      <c r="G64" s="7">
        <v>2816830</v>
      </c>
      <c r="H64" s="7">
        <v>243.09200000000001</v>
      </c>
      <c r="I64" s="7" t="s">
        <v>20</v>
      </c>
      <c r="J64" s="7" t="s">
        <v>39</v>
      </c>
      <c r="K64" s="8" t="s">
        <v>47</v>
      </c>
      <c r="L64" s="7">
        <f t="shared" si="14"/>
        <v>60.773000000000003</v>
      </c>
      <c r="M64" s="7" t="s">
        <v>42</v>
      </c>
      <c r="N64" s="7">
        <f t="shared" si="15"/>
        <v>788676.37248936575</v>
      </c>
      <c r="O64" s="7">
        <f t="shared" si="5"/>
        <v>12977.413859598271</v>
      </c>
      <c r="P64" s="9" t="s">
        <v>68</v>
      </c>
    </row>
    <row r="65" spans="1:16" x14ac:dyDescent="0.25">
      <c r="A65" s="6">
        <v>6</v>
      </c>
      <c r="B65" s="7" t="s">
        <v>122</v>
      </c>
      <c r="C65" s="7">
        <v>2023</v>
      </c>
      <c r="D65" s="7">
        <v>1325.4670000000001</v>
      </c>
      <c r="E65" s="7">
        <v>2681419</v>
      </c>
      <c r="F65" s="7">
        <v>1122</v>
      </c>
      <c r="G65" s="7">
        <v>2681419</v>
      </c>
      <c r="H65" s="7">
        <v>252.08</v>
      </c>
      <c r="I65" s="7" t="s">
        <v>21</v>
      </c>
      <c r="J65" s="7" t="s">
        <v>39</v>
      </c>
      <c r="K65" s="8" t="s">
        <v>47</v>
      </c>
      <c r="L65" s="7">
        <f t="shared" si="14"/>
        <v>63.02</v>
      </c>
      <c r="M65" s="7" t="s">
        <v>42</v>
      </c>
      <c r="N65" s="7">
        <f t="shared" si="15"/>
        <v>582720.89848899608</v>
      </c>
      <c r="O65" s="7">
        <f t="shared" si="5"/>
        <v>9246.6026418437959</v>
      </c>
      <c r="P65" s="9" t="s">
        <v>68</v>
      </c>
    </row>
    <row r="66" spans="1:16" x14ac:dyDescent="0.25">
      <c r="A66" s="6">
        <v>7</v>
      </c>
      <c r="B66" s="7" t="s">
        <v>123</v>
      </c>
      <c r="C66" s="7">
        <v>1818</v>
      </c>
      <c r="D66" s="7">
        <v>1240.5540000000001</v>
      </c>
      <c r="E66" s="7">
        <v>2255328</v>
      </c>
      <c r="F66" s="7">
        <v>1096</v>
      </c>
      <c r="G66" s="7">
        <v>2255328</v>
      </c>
      <c r="H66" s="7">
        <v>226.40299999999999</v>
      </c>
      <c r="I66" s="7" t="s">
        <v>22</v>
      </c>
      <c r="J66" s="7" t="s">
        <v>39</v>
      </c>
      <c r="K66" s="8" t="s">
        <v>47</v>
      </c>
      <c r="L66" s="7">
        <f t="shared" ref="L66:L67" si="16">H66/4</f>
        <v>56.600749999999998</v>
      </c>
      <c r="M66" s="7" t="s">
        <v>42</v>
      </c>
      <c r="N66" s="7">
        <f t="shared" si="15"/>
        <v>369300.73922540527</v>
      </c>
      <c r="O66" s="7">
        <f t="shared" si="5"/>
        <v>6524.6615853218427</v>
      </c>
      <c r="P66" s="9" t="s">
        <v>68</v>
      </c>
    </row>
    <row r="67" spans="1:16" x14ac:dyDescent="0.25">
      <c r="A67" s="6">
        <v>8</v>
      </c>
      <c r="B67" s="7" t="s">
        <v>124</v>
      </c>
      <c r="C67" s="7">
        <v>1577</v>
      </c>
      <c r="D67" s="7">
        <v>1361.547</v>
      </c>
      <c r="E67" s="7">
        <v>2147160</v>
      </c>
      <c r="F67" s="7">
        <v>1130</v>
      </c>
      <c r="G67" s="7">
        <v>2147160</v>
      </c>
      <c r="H67" s="7">
        <v>196.386</v>
      </c>
      <c r="I67" s="7" t="s">
        <v>23</v>
      </c>
      <c r="J67" s="7" t="s">
        <v>39</v>
      </c>
      <c r="K67" s="8" t="s">
        <v>47</v>
      </c>
      <c r="L67" s="7">
        <f t="shared" si="16"/>
        <v>49.096499999999999</v>
      </c>
      <c r="M67" s="7" t="s">
        <v>42</v>
      </c>
      <c r="N67" s="7">
        <f t="shared" si="15"/>
        <v>511150.65443259827</v>
      </c>
      <c r="O67" s="7">
        <f t="shared" si="5"/>
        <v>10411.142432405533</v>
      </c>
      <c r="P67" s="9" t="s">
        <v>68</v>
      </c>
    </row>
    <row r="68" spans="1:16" x14ac:dyDescent="0.25">
      <c r="A68" s="6">
        <v>9</v>
      </c>
      <c r="B68" s="7" t="s">
        <v>125</v>
      </c>
      <c r="C68" s="7">
        <v>1518</v>
      </c>
      <c r="D68" s="7">
        <v>1034.9549999999999</v>
      </c>
      <c r="E68" s="7">
        <v>1571061</v>
      </c>
      <c r="F68" s="7">
        <v>1034</v>
      </c>
      <c r="G68" s="7">
        <v>1571061</v>
      </c>
      <c r="H68" s="7">
        <v>188.499</v>
      </c>
      <c r="I68" s="7" t="s">
        <v>24</v>
      </c>
      <c r="J68" s="7"/>
      <c r="K68" s="8" t="s">
        <v>47</v>
      </c>
      <c r="L68" s="7">
        <f t="shared" si="14"/>
        <v>47.124749999999999</v>
      </c>
      <c r="M68" s="7" t="s">
        <v>42</v>
      </c>
      <c r="N68" s="7"/>
      <c r="O68" s="7">
        <f t="shared" si="5"/>
        <v>0</v>
      </c>
      <c r="P68" s="9" t="s">
        <v>68</v>
      </c>
    </row>
    <row r="69" spans="1:16" x14ac:dyDescent="0.25">
      <c r="A69" s="6">
        <v>10</v>
      </c>
      <c r="B69" s="7" t="s">
        <v>126</v>
      </c>
      <c r="C69" s="7">
        <v>1758</v>
      </c>
      <c r="D69" s="7">
        <v>1038.6679999999999</v>
      </c>
      <c r="E69" s="7">
        <v>1825979</v>
      </c>
      <c r="F69" s="7">
        <v>1038</v>
      </c>
      <c r="G69" s="7">
        <v>1825979</v>
      </c>
      <c r="H69" s="7">
        <v>219.55600000000001</v>
      </c>
      <c r="I69" s="7" t="s">
        <v>24</v>
      </c>
      <c r="J69" s="7"/>
      <c r="K69" s="8" t="s">
        <v>47</v>
      </c>
      <c r="L69" s="7">
        <f t="shared" si="14"/>
        <v>54.889000000000003</v>
      </c>
      <c r="M69" s="7" t="s">
        <v>42</v>
      </c>
      <c r="N69" s="7"/>
      <c r="O69" s="7">
        <f t="shared" si="5"/>
        <v>0</v>
      </c>
      <c r="P69" s="9" t="s">
        <v>68</v>
      </c>
    </row>
    <row r="70" spans="1:16" x14ac:dyDescent="0.25">
      <c r="A70" s="10">
        <v>11</v>
      </c>
      <c r="B70" s="11" t="s">
        <v>127</v>
      </c>
      <c r="C70" s="11">
        <v>1448</v>
      </c>
      <c r="D70" s="11">
        <v>1038.633</v>
      </c>
      <c r="E70" s="11">
        <v>1503941</v>
      </c>
      <c r="F70" s="11">
        <v>1038</v>
      </c>
      <c r="G70" s="11">
        <v>1503941</v>
      </c>
      <c r="H70" s="11">
        <v>179.96100000000001</v>
      </c>
      <c r="I70" s="7" t="s">
        <v>24</v>
      </c>
      <c r="J70" s="11"/>
      <c r="K70" s="8" t="s">
        <v>47</v>
      </c>
      <c r="L70" s="11">
        <f t="shared" si="14"/>
        <v>44.990250000000003</v>
      </c>
      <c r="M70" s="7" t="s">
        <v>42</v>
      </c>
      <c r="N70" s="11"/>
      <c r="O70" s="7">
        <f t="shared" si="5"/>
        <v>0</v>
      </c>
      <c r="P70" s="13" t="s">
        <v>68</v>
      </c>
    </row>
    <row r="71" spans="1:16" x14ac:dyDescent="0.25">
      <c r="A71">
        <v>1</v>
      </c>
      <c r="B71" t="s">
        <v>128</v>
      </c>
      <c r="C71">
        <v>1626</v>
      </c>
      <c r="D71">
        <v>1331.8489999999999</v>
      </c>
      <c r="E71">
        <v>2165586</v>
      </c>
      <c r="F71">
        <v>1110</v>
      </c>
      <c r="G71">
        <v>2165586</v>
      </c>
      <c r="H71">
        <v>202.32599999999999</v>
      </c>
      <c r="I71" s="7" t="s">
        <v>25</v>
      </c>
      <c r="J71" s="3" t="s">
        <v>39</v>
      </c>
      <c r="K71" s="8" t="s">
        <v>47</v>
      </c>
      <c r="L71" s="3">
        <f t="shared" ref="L71:L91" si="17">H71/4</f>
        <v>50.581499999999998</v>
      </c>
      <c r="M71" s="7" t="s">
        <v>16</v>
      </c>
      <c r="N71" s="7">
        <f>G71-(((G$79/C$79*C71)+(G$80/C$80*C71)+(G$81/C$81*C71))/3)</f>
        <v>481831.41465769452</v>
      </c>
      <c r="O71" s="7">
        <f t="shared" si="5"/>
        <v>9525.8427420636908</v>
      </c>
      <c r="P71" s="5" t="s">
        <v>68</v>
      </c>
    </row>
    <row r="72" spans="1:16" x14ac:dyDescent="0.25">
      <c r="A72">
        <v>2</v>
      </c>
      <c r="B72" t="s">
        <v>129</v>
      </c>
      <c r="C72">
        <v>1400</v>
      </c>
      <c r="D72">
        <v>1092.413</v>
      </c>
      <c r="E72">
        <v>1529378</v>
      </c>
      <c r="F72">
        <v>1061</v>
      </c>
      <c r="G72">
        <v>1529378</v>
      </c>
      <c r="H72">
        <v>173.98099999999999</v>
      </c>
      <c r="I72" s="7" t="s">
        <v>26</v>
      </c>
      <c r="J72" s="7" t="s">
        <v>39</v>
      </c>
      <c r="K72" s="8" t="s">
        <v>47</v>
      </c>
      <c r="L72" s="7">
        <f t="shared" si="17"/>
        <v>43.495249999999999</v>
      </c>
      <c r="M72" s="7" t="s">
        <v>16</v>
      </c>
      <c r="N72" s="7">
        <f t="shared" ref="N72:N78" si="18">G72-(((G$79/C$79*C72)+(G$80/C$80*C72)+(G$81/C$81*C72))/3)</f>
        <v>79650.804748322815</v>
      </c>
      <c r="O72" s="7">
        <f t="shared" si="5"/>
        <v>1831.2529471223368</v>
      </c>
      <c r="P72" s="9" t="s">
        <v>68</v>
      </c>
    </row>
    <row r="73" spans="1:16" x14ac:dyDescent="0.25">
      <c r="A73">
        <v>3</v>
      </c>
      <c r="B73" t="s">
        <v>130</v>
      </c>
      <c r="C73">
        <v>1990</v>
      </c>
      <c r="D73">
        <v>1429.1310000000001</v>
      </c>
      <c r="E73">
        <v>2843970</v>
      </c>
      <c r="F73">
        <v>1145</v>
      </c>
      <c r="G73">
        <v>2843970</v>
      </c>
      <c r="H73">
        <v>248.36799999999999</v>
      </c>
      <c r="I73" s="7" t="s">
        <v>27</v>
      </c>
      <c r="J73" s="7" t="s">
        <v>39</v>
      </c>
      <c r="K73" s="8" t="s">
        <v>47</v>
      </c>
      <c r="L73" s="7">
        <f t="shared" si="17"/>
        <v>62.091999999999999</v>
      </c>
      <c r="M73" s="7" t="s">
        <v>16</v>
      </c>
      <c r="N73" s="7">
        <f t="shared" si="18"/>
        <v>783286.34389225859</v>
      </c>
      <c r="O73" s="7">
        <f t="shared" si="5"/>
        <v>12614.931776915844</v>
      </c>
      <c r="P73" s="9" t="s">
        <v>68</v>
      </c>
    </row>
    <row r="74" spans="1:16" x14ac:dyDescent="0.25">
      <c r="A74">
        <v>4</v>
      </c>
      <c r="B74" t="s">
        <v>131</v>
      </c>
      <c r="C74">
        <v>1990</v>
      </c>
      <c r="D74">
        <v>1462.252</v>
      </c>
      <c r="E74">
        <v>2909882</v>
      </c>
      <c r="F74">
        <v>1162</v>
      </c>
      <c r="G74">
        <v>2909882</v>
      </c>
      <c r="H74">
        <v>247.59299999999999</v>
      </c>
      <c r="I74" s="7" t="s">
        <v>28</v>
      </c>
      <c r="J74" s="7" t="s">
        <v>39</v>
      </c>
      <c r="K74" s="8" t="s">
        <v>47</v>
      </c>
      <c r="L74" s="7">
        <f t="shared" si="17"/>
        <v>61.898249999999997</v>
      </c>
      <c r="M74" s="7" t="s">
        <v>16</v>
      </c>
      <c r="N74" s="7">
        <f t="shared" si="18"/>
        <v>849198.34389225859</v>
      </c>
      <c r="O74" s="7">
        <f t="shared" si="5"/>
        <v>13719.262562225244</v>
      </c>
      <c r="P74" s="9" t="s">
        <v>68</v>
      </c>
    </row>
    <row r="75" spans="1:16" x14ac:dyDescent="0.25">
      <c r="A75">
        <v>5</v>
      </c>
      <c r="B75" t="s">
        <v>132</v>
      </c>
      <c r="C75">
        <v>1763</v>
      </c>
      <c r="D75">
        <v>1293.6210000000001</v>
      </c>
      <c r="E75">
        <v>2280653</v>
      </c>
      <c r="F75">
        <v>1116</v>
      </c>
      <c r="G75">
        <v>2280653</v>
      </c>
      <c r="H75">
        <v>219.39</v>
      </c>
      <c r="I75" s="7" t="s">
        <v>29</v>
      </c>
      <c r="J75" s="7" t="s">
        <v>39</v>
      </c>
      <c r="K75" s="8" t="s">
        <v>47</v>
      </c>
      <c r="L75" s="7">
        <f t="shared" si="17"/>
        <v>54.847499999999997</v>
      </c>
      <c r="M75" s="7" t="s">
        <v>16</v>
      </c>
      <c r="N75" s="7">
        <f t="shared" si="18"/>
        <v>455032.25340806623</v>
      </c>
      <c r="O75" s="7">
        <f t="shared" si="5"/>
        <v>8296.3171230788321</v>
      </c>
      <c r="P75" s="9" t="s">
        <v>68</v>
      </c>
    </row>
    <row r="76" spans="1:16" x14ac:dyDescent="0.25">
      <c r="A76">
        <v>6</v>
      </c>
      <c r="B76" t="s">
        <v>133</v>
      </c>
      <c r="C76">
        <v>1943</v>
      </c>
      <c r="D76">
        <v>1412.383</v>
      </c>
      <c r="E76">
        <v>2744260</v>
      </c>
      <c r="F76">
        <v>1134</v>
      </c>
      <c r="G76">
        <v>2744260</v>
      </c>
      <c r="H76">
        <v>242.48699999999999</v>
      </c>
      <c r="I76" s="7" t="s">
        <v>30</v>
      </c>
      <c r="J76" s="7" t="s">
        <v>39</v>
      </c>
      <c r="K76" s="8" t="s">
        <v>47</v>
      </c>
      <c r="L76" s="7">
        <f t="shared" si="17"/>
        <v>60.621749999999999</v>
      </c>
      <c r="M76" s="7" t="s">
        <v>16</v>
      </c>
      <c r="N76" s="7">
        <f t="shared" si="18"/>
        <v>732245.75687570777</v>
      </c>
      <c r="O76" s="7">
        <f t="shared" si="5"/>
        <v>12078.928055948694</v>
      </c>
      <c r="P76" s="9" t="s">
        <v>68</v>
      </c>
    </row>
    <row r="77" spans="1:16" x14ac:dyDescent="0.25">
      <c r="A77">
        <v>7</v>
      </c>
      <c r="B77" t="s">
        <v>134</v>
      </c>
      <c r="C77">
        <v>1598</v>
      </c>
      <c r="D77">
        <v>1394.184</v>
      </c>
      <c r="E77">
        <v>2227906</v>
      </c>
      <c r="F77">
        <v>1133</v>
      </c>
      <c r="G77">
        <v>2227906</v>
      </c>
      <c r="H77">
        <v>199.08500000000001</v>
      </c>
      <c r="I77" s="7" t="s">
        <v>40</v>
      </c>
      <c r="J77" s="7" t="s">
        <v>39</v>
      </c>
      <c r="K77" s="8" t="s">
        <v>47</v>
      </c>
      <c r="L77" s="7">
        <f t="shared" si="17"/>
        <v>49.771250000000002</v>
      </c>
      <c r="M77" s="7" t="s">
        <v>16</v>
      </c>
      <c r="N77" s="7">
        <f t="shared" si="18"/>
        <v>573145.95856272825</v>
      </c>
      <c r="O77" s="7">
        <f t="shared" ref="O77:O121" si="19">N77/L77</f>
        <v>11515.603055232252</v>
      </c>
      <c r="P77" s="9" t="s">
        <v>68</v>
      </c>
    </row>
    <row r="78" spans="1:16" x14ac:dyDescent="0.25">
      <c r="A78">
        <v>8</v>
      </c>
      <c r="B78" t="s">
        <v>135</v>
      </c>
      <c r="C78">
        <v>1575</v>
      </c>
      <c r="D78">
        <v>1372.4259999999999</v>
      </c>
      <c r="E78">
        <v>2161571</v>
      </c>
      <c r="F78">
        <v>1107</v>
      </c>
      <c r="G78">
        <v>2161571</v>
      </c>
      <c r="H78">
        <v>196.30600000000001</v>
      </c>
      <c r="I78" s="7" t="s">
        <v>31</v>
      </c>
      <c r="J78" s="7" t="s">
        <v>39</v>
      </c>
      <c r="K78" s="8" t="s">
        <v>47</v>
      </c>
      <c r="L78" s="7">
        <f t="shared" si="17"/>
        <v>49.076500000000003</v>
      </c>
      <c r="M78" s="7" t="s">
        <v>16</v>
      </c>
      <c r="N78" s="7">
        <f t="shared" si="18"/>
        <v>530627.90534186293</v>
      </c>
      <c r="O78" s="7">
        <f t="shared" si="19"/>
        <v>10812.2605593688</v>
      </c>
      <c r="P78" s="9" t="s">
        <v>68</v>
      </c>
    </row>
    <row r="79" spans="1:16" x14ac:dyDescent="0.25">
      <c r="A79">
        <v>9</v>
      </c>
      <c r="B79" t="s">
        <v>136</v>
      </c>
      <c r="C79">
        <v>1919</v>
      </c>
      <c r="D79">
        <v>1034.095</v>
      </c>
      <c r="E79">
        <v>1984428</v>
      </c>
      <c r="F79">
        <v>1034</v>
      </c>
      <c r="G79">
        <v>1984428</v>
      </c>
      <c r="H79">
        <v>238.77799999999999</v>
      </c>
      <c r="I79" s="7" t="s">
        <v>24</v>
      </c>
      <c r="J79" s="7"/>
      <c r="K79" s="8" t="s">
        <v>47</v>
      </c>
      <c r="L79" s="7">
        <f t="shared" si="17"/>
        <v>59.694499999999998</v>
      </c>
      <c r="M79" s="7" t="s">
        <v>16</v>
      </c>
      <c r="N79" s="7"/>
      <c r="O79" s="7">
        <f t="shared" si="19"/>
        <v>0</v>
      </c>
      <c r="P79" s="9" t="s">
        <v>68</v>
      </c>
    </row>
    <row r="80" spans="1:16" x14ac:dyDescent="0.25">
      <c r="A80">
        <v>10</v>
      </c>
      <c r="B80" t="s">
        <v>137</v>
      </c>
      <c r="C80">
        <v>1859</v>
      </c>
      <c r="D80">
        <v>1036.47</v>
      </c>
      <c r="E80">
        <v>1926797</v>
      </c>
      <c r="F80">
        <v>1036</v>
      </c>
      <c r="G80">
        <v>1926797</v>
      </c>
      <c r="H80">
        <v>231.35400000000001</v>
      </c>
      <c r="I80" s="7" t="s">
        <v>24</v>
      </c>
      <c r="J80" s="7"/>
      <c r="K80" s="8" t="s">
        <v>47</v>
      </c>
      <c r="L80" s="7">
        <f t="shared" si="17"/>
        <v>57.838500000000003</v>
      </c>
      <c r="M80" s="7" t="s">
        <v>16</v>
      </c>
      <c r="N80" s="7"/>
      <c r="O80" s="7">
        <f t="shared" si="19"/>
        <v>0</v>
      </c>
      <c r="P80" s="9" t="s">
        <v>68</v>
      </c>
    </row>
    <row r="81" spans="1:16" x14ac:dyDescent="0.25">
      <c r="A81">
        <v>11</v>
      </c>
      <c r="B81" t="s">
        <v>138</v>
      </c>
      <c r="C81">
        <v>1944</v>
      </c>
      <c r="D81">
        <v>1035.9939999999999</v>
      </c>
      <c r="E81">
        <v>2013972</v>
      </c>
      <c r="F81">
        <v>1036</v>
      </c>
      <c r="G81">
        <v>2013972</v>
      </c>
      <c r="H81">
        <v>242.27799999999999</v>
      </c>
      <c r="I81" s="7" t="s">
        <v>24</v>
      </c>
      <c r="J81" s="7"/>
      <c r="K81" s="8" t="s">
        <v>47</v>
      </c>
      <c r="L81" s="7">
        <f t="shared" si="17"/>
        <v>60.569499999999998</v>
      </c>
      <c r="M81" s="7" t="s">
        <v>16</v>
      </c>
      <c r="N81" s="7"/>
      <c r="O81" s="7">
        <f t="shared" si="19"/>
        <v>0</v>
      </c>
      <c r="P81" s="9" t="s">
        <v>68</v>
      </c>
    </row>
    <row r="82" spans="1:16" x14ac:dyDescent="0.25">
      <c r="A82" s="2">
        <v>1</v>
      </c>
      <c r="B82" s="3" t="s">
        <v>139</v>
      </c>
      <c r="C82" s="3">
        <v>1846</v>
      </c>
      <c r="D82" s="3">
        <v>1379.5329999999999</v>
      </c>
      <c r="E82" s="3">
        <v>2546618</v>
      </c>
      <c r="F82" s="3">
        <v>1140</v>
      </c>
      <c r="G82" s="3">
        <v>2546618</v>
      </c>
      <c r="H82" s="3">
        <v>229.7</v>
      </c>
      <c r="I82" s="3" t="s">
        <v>32</v>
      </c>
      <c r="J82" s="3" t="s">
        <v>39</v>
      </c>
      <c r="K82" s="8" t="s">
        <v>47</v>
      </c>
      <c r="L82" s="3">
        <f t="shared" si="17"/>
        <v>57.424999999999997</v>
      </c>
      <c r="M82" s="3" t="s">
        <v>55</v>
      </c>
      <c r="N82" s="3">
        <f>G82-(((G$89/C$89*C82)+(G$90/C$90*C82)+(G$91/C$91*C82))/3)</f>
        <v>632885.89153126045</v>
      </c>
      <c r="O82" s="7">
        <f t="shared" si="19"/>
        <v>11021.086487266182</v>
      </c>
      <c r="P82" s="5" t="s">
        <v>68</v>
      </c>
    </row>
    <row r="83" spans="1:16" x14ac:dyDescent="0.25">
      <c r="A83" s="6">
        <v>2</v>
      </c>
      <c r="B83" s="7" t="s">
        <v>140</v>
      </c>
      <c r="C83" s="7">
        <v>1470</v>
      </c>
      <c r="D83" s="7">
        <v>1316.587</v>
      </c>
      <c r="E83" s="7">
        <v>1935383</v>
      </c>
      <c r="F83" s="7">
        <v>1120</v>
      </c>
      <c r="G83" s="7">
        <v>1935383</v>
      </c>
      <c r="H83" s="7">
        <v>183.477</v>
      </c>
      <c r="I83" s="7" t="s">
        <v>33</v>
      </c>
      <c r="J83" s="7" t="s">
        <v>39</v>
      </c>
      <c r="K83" s="8" t="s">
        <v>47</v>
      </c>
      <c r="L83" s="7">
        <f t="shared" si="17"/>
        <v>45.869250000000001</v>
      </c>
      <c r="M83" s="7" t="s">
        <v>55</v>
      </c>
      <c r="N83" s="7">
        <f>G83-(((G$89/C$89*C83)+(G$90/C$90*C83)+(G$91/C$91*C83))/3)</f>
        <v>411446.81394959521</v>
      </c>
      <c r="O83" s="7">
        <f t="shared" si="19"/>
        <v>8969.9921832075997</v>
      </c>
      <c r="P83" s="9" t="s">
        <v>68</v>
      </c>
    </row>
    <row r="84" spans="1:16" x14ac:dyDescent="0.25">
      <c r="A84" s="6">
        <v>3</v>
      </c>
      <c r="B84" s="7" t="s">
        <v>141</v>
      </c>
      <c r="C84" s="7">
        <v>1641</v>
      </c>
      <c r="D84" s="7">
        <v>1296.0229999999999</v>
      </c>
      <c r="E84" s="7">
        <v>2126773</v>
      </c>
      <c r="F84" s="7">
        <v>1112</v>
      </c>
      <c r="G84" s="7">
        <v>2126773</v>
      </c>
      <c r="H84" s="7">
        <v>204.11</v>
      </c>
      <c r="I84" s="7" t="s">
        <v>34</v>
      </c>
      <c r="J84" s="7" t="s">
        <v>39</v>
      </c>
      <c r="K84" s="8" t="s">
        <v>47</v>
      </c>
      <c r="L84" s="7">
        <f t="shared" si="17"/>
        <v>51.027500000000003</v>
      </c>
      <c r="M84" s="7" t="s">
        <v>55</v>
      </c>
      <c r="N84" s="7">
        <f t="shared" ref="N84:N88" si="20">G84-(((G$89/C$89*C84)+(G$90/C$90*C84)+(G$91/C$91*C84))/3)</f>
        <v>425562.60455189529</v>
      </c>
      <c r="O84" s="7">
        <f t="shared" si="19"/>
        <v>8339.8678075918924</v>
      </c>
      <c r="P84" s="9" t="s">
        <v>68</v>
      </c>
    </row>
    <row r="85" spans="1:16" x14ac:dyDescent="0.25">
      <c r="A85" s="6">
        <v>4</v>
      </c>
      <c r="B85" s="7" t="s">
        <v>142</v>
      </c>
      <c r="C85" s="7">
        <v>1912</v>
      </c>
      <c r="D85" s="7">
        <v>1350.1849999999999</v>
      </c>
      <c r="E85" s="7">
        <v>2581554</v>
      </c>
      <c r="F85" s="7">
        <v>1123</v>
      </c>
      <c r="G85" s="7">
        <v>2581554</v>
      </c>
      <c r="H85" s="7">
        <v>238.63900000000001</v>
      </c>
      <c r="I85" s="7" t="s">
        <v>35</v>
      </c>
      <c r="J85" s="7" t="s">
        <v>39</v>
      </c>
      <c r="K85" s="8" t="s">
        <v>47</v>
      </c>
      <c r="L85" s="7">
        <f t="shared" si="17"/>
        <v>59.659750000000003</v>
      </c>
      <c r="M85" s="7" t="s">
        <v>55</v>
      </c>
      <c r="N85" s="7">
        <f t="shared" si="20"/>
        <v>599400.26685144636</v>
      </c>
      <c r="O85" s="7">
        <f t="shared" si="19"/>
        <v>10046.97919202555</v>
      </c>
      <c r="P85" s="9" t="s">
        <v>68</v>
      </c>
    </row>
    <row r="86" spans="1:16" x14ac:dyDescent="0.25">
      <c r="A86" s="6">
        <v>5</v>
      </c>
      <c r="B86" s="7" t="s">
        <v>143</v>
      </c>
      <c r="C86" s="7">
        <v>2213</v>
      </c>
      <c r="D86" s="7">
        <v>1565.6210000000001</v>
      </c>
      <c r="E86" s="7">
        <v>3464720</v>
      </c>
      <c r="F86" s="7">
        <v>1162</v>
      </c>
      <c r="G86" s="7">
        <v>3464720</v>
      </c>
      <c r="H86" s="7">
        <v>276.041</v>
      </c>
      <c r="I86" s="7" t="s">
        <v>36</v>
      </c>
      <c r="J86" s="7" t="s">
        <v>39</v>
      </c>
      <c r="K86" s="8" t="s">
        <v>47</v>
      </c>
      <c r="L86" s="7">
        <f t="shared" si="17"/>
        <v>69.010249999999999</v>
      </c>
      <c r="M86" s="7" t="s">
        <v>55</v>
      </c>
      <c r="N86" s="7">
        <f t="shared" si="20"/>
        <v>1170522.1906601726</v>
      </c>
      <c r="O86" s="7">
        <f t="shared" si="19"/>
        <v>16961.57006618832</v>
      </c>
      <c r="P86" s="9" t="s">
        <v>68</v>
      </c>
    </row>
    <row r="87" spans="1:16" x14ac:dyDescent="0.25">
      <c r="A87" s="6">
        <v>6</v>
      </c>
      <c r="B87" s="7" t="s">
        <v>144</v>
      </c>
      <c r="C87" s="7">
        <v>1536</v>
      </c>
      <c r="D87" s="7">
        <v>1203.2619999999999</v>
      </c>
      <c r="E87" s="7">
        <v>1848211</v>
      </c>
      <c r="F87" s="7">
        <v>1093</v>
      </c>
      <c r="G87" s="7">
        <v>1848211</v>
      </c>
      <c r="H87" s="7">
        <v>190.60300000000001</v>
      </c>
      <c r="I87" s="7" t="s">
        <v>37</v>
      </c>
      <c r="J87" s="7" t="s">
        <v>39</v>
      </c>
      <c r="K87" s="8" t="s">
        <v>47</v>
      </c>
      <c r="L87" s="7">
        <f t="shared" si="17"/>
        <v>47.650750000000002</v>
      </c>
      <c r="M87" s="7" t="s">
        <v>55</v>
      </c>
      <c r="N87" s="7">
        <f t="shared" si="20"/>
        <v>255853.18926978111</v>
      </c>
      <c r="O87" s="7">
        <f t="shared" si="19"/>
        <v>5369.3423350058729</v>
      </c>
      <c r="P87" s="9" t="s">
        <v>68</v>
      </c>
    </row>
    <row r="88" spans="1:16" x14ac:dyDescent="0.25">
      <c r="A88" s="6">
        <v>7</v>
      </c>
      <c r="B88" s="7" t="s">
        <v>145</v>
      </c>
      <c r="C88" s="7">
        <v>2118</v>
      </c>
      <c r="D88" s="7">
        <v>1429.096</v>
      </c>
      <c r="E88" s="7">
        <v>3026825</v>
      </c>
      <c r="F88" s="7">
        <v>1145</v>
      </c>
      <c r="G88" s="7">
        <v>3026825</v>
      </c>
      <c r="H88" s="7">
        <v>263.89100000000002</v>
      </c>
      <c r="I88" s="7" t="s">
        <v>38</v>
      </c>
      <c r="J88" s="7" t="s">
        <v>39</v>
      </c>
      <c r="K88" s="8" t="s">
        <v>47</v>
      </c>
      <c r="L88" s="7">
        <f t="shared" si="17"/>
        <v>65.972750000000005</v>
      </c>
      <c r="M88" s="7" t="s">
        <v>55</v>
      </c>
      <c r="N88" s="7">
        <f t="shared" si="20"/>
        <v>831112.86254778411</v>
      </c>
      <c r="O88" s="7">
        <f t="shared" si="19"/>
        <v>12597.820502370812</v>
      </c>
      <c r="P88" s="9" t="s">
        <v>68</v>
      </c>
    </row>
    <row r="89" spans="1:16" x14ac:dyDescent="0.25">
      <c r="A89" s="6">
        <v>8</v>
      </c>
      <c r="B89" s="7" t="s">
        <v>146</v>
      </c>
      <c r="C89" s="7">
        <v>1651</v>
      </c>
      <c r="D89" s="7">
        <v>1036.2629999999999</v>
      </c>
      <c r="E89" s="7">
        <v>1710870</v>
      </c>
      <c r="F89" s="7">
        <v>1036</v>
      </c>
      <c r="G89" s="7">
        <v>1710870</v>
      </c>
      <c r="H89" s="7">
        <v>205.679</v>
      </c>
      <c r="I89" s="7" t="s">
        <v>24</v>
      </c>
      <c r="J89" s="7"/>
      <c r="K89" s="8" t="s">
        <v>47</v>
      </c>
      <c r="L89" s="7">
        <f t="shared" si="17"/>
        <v>51.419750000000001</v>
      </c>
      <c r="M89" s="7" t="s">
        <v>55</v>
      </c>
      <c r="N89" s="7"/>
      <c r="O89" s="7">
        <f t="shared" si="19"/>
        <v>0</v>
      </c>
      <c r="P89" s="9" t="s">
        <v>68</v>
      </c>
    </row>
    <row r="90" spans="1:16" x14ac:dyDescent="0.25">
      <c r="A90" s="6">
        <v>9</v>
      </c>
      <c r="B90" s="7" t="s">
        <v>147</v>
      </c>
      <c r="C90" s="7">
        <v>1531</v>
      </c>
      <c r="D90" s="7">
        <v>1036.1969999999999</v>
      </c>
      <c r="E90" s="7">
        <v>1586417</v>
      </c>
      <c r="F90" s="7">
        <v>1036</v>
      </c>
      <c r="G90" s="7">
        <v>1586417</v>
      </c>
      <c r="H90" s="7">
        <v>190.08099999999999</v>
      </c>
      <c r="I90" s="7" t="s">
        <v>24</v>
      </c>
      <c r="J90" s="7"/>
      <c r="K90" s="8" t="s">
        <v>47</v>
      </c>
      <c r="L90" s="7">
        <f t="shared" si="17"/>
        <v>47.520249999999997</v>
      </c>
      <c r="M90" s="7" t="s">
        <v>55</v>
      </c>
      <c r="N90" s="7"/>
      <c r="O90" s="7">
        <f t="shared" si="19"/>
        <v>0</v>
      </c>
      <c r="P90" s="9" t="s">
        <v>68</v>
      </c>
    </row>
    <row r="91" spans="1:16" x14ac:dyDescent="0.25">
      <c r="A91" s="10">
        <v>10</v>
      </c>
      <c r="B91" s="11" t="s">
        <v>148</v>
      </c>
      <c r="C91" s="11">
        <v>1447</v>
      </c>
      <c r="D91" s="11">
        <v>1037.614</v>
      </c>
      <c r="E91" s="11">
        <v>1501428</v>
      </c>
      <c r="F91" s="11">
        <v>1038</v>
      </c>
      <c r="G91" s="11">
        <v>1501428</v>
      </c>
      <c r="H91" s="11">
        <v>179.91200000000001</v>
      </c>
      <c r="I91" s="11" t="s">
        <v>24</v>
      </c>
      <c r="J91" s="11"/>
      <c r="K91" s="8" t="s">
        <v>47</v>
      </c>
      <c r="L91" s="11">
        <f t="shared" si="17"/>
        <v>44.978000000000002</v>
      </c>
      <c r="M91" s="7" t="s">
        <v>55</v>
      </c>
      <c r="N91" s="7"/>
      <c r="O91" s="7">
        <f t="shared" si="19"/>
        <v>0</v>
      </c>
      <c r="P91" s="9" t="s">
        <v>68</v>
      </c>
    </row>
    <row r="92" spans="1:16" x14ac:dyDescent="0.25">
      <c r="A92" s="2">
        <v>1</v>
      </c>
      <c r="B92" s="3" t="s">
        <v>149</v>
      </c>
      <c r="C92" s="3">
        <v>1527</v>
      </c>
      <c r="D92" s="3">
        <v>1203.1590000000001</v>
      </c>
      <c r="E92" s="3">
        <v>1837224</v>
      </c>
      <c r="F92" s="3">
        <v>1080</v>
      </c>
      <c r="G92" s="3">
        <v>1837224</v>
      </c>
      <c r="H92" s="3">
        <v>189.37899999999999</v>
      </c>
      <c r="I92" s="3" t="s">
        <v>17</v>
      </c>
      <c r="J92" s="3" t="s">
        <v>39</v>
      </c>
      <c r="K92" s="8" t="s">
        <v>48</v>
      </c>
      <c r="L92" s="3">
        <f t="shared" ref="L92:L100" si="21">H92/4</f>
        <v>47.344749999999998</v>
      </c>
      <c r="M92" s="2" t="s">
        <v>56</v>
      </c>
      <c r="N92" s="3">
        <f>G92-(((G$98/C$98*C92)+(G$99/C$99*C92)+(G$100/C$100*C92))/3)</f>
        <v>258845.35805442673</v>
      </c>
      <c r="O92" s="7">
        <f t="shared" si="19"/>
        <v>5467.2452184123213</v>
      </c>
      <c r="P92" s="5" t="s">
        <v>68</v>
      </c>
    </row>
    <row r="93" spans="1:16" x14ac:dyDescent="0.25">
      <c r="A93" s="6">
        <v>2</v>
      </c>
      <c r="B93" s="7" t="s">
        <v>150</v>
      </c>
      <c r="C93" s="7">
        <v>1524</v>
      </c>
      <c r="D93" s="7">
        <v>1241.4760000000001</v>
      </c>
      <c r="E93" s="7">
        <v>1892009</v>
      </c>
      <c r="F93" s="7">
        <v>1095</v>
      </c>
      <c r="G93" s="7">
        <v>1892009</v>
      </c>
      <c r="H93" s="7">
        <v>188.89699999999999</v>
      </c>
      <c r="I93" s="3" t="s">
        <v>18</v>
      </c>
      <c r="J93" s="7" t="s">
        <v>39</v>
      </c>
      <c r="K93" s="8" t="s">
        <v>48</v>
      </c>
      <c r="L93" s="7">
        <f t="shared" si="21"/>
        <v>47.224249999999998</v>
      </c>
      <c r="M93" s="6" t="s">
        <v>56</v>
      </c>
      <c r="N93" s="7">
        <f>G93-(((G$98/C$98*C93)+(G$99/C$99*C93)+(G$100/C$100*C93))/3)</f>
        <v>316731.29841188365</v>
      </c>
      <c r="O93" s="7">
        <f t="shared" si="19"/>
        <v>6706.9630203101933</v>
      </c>
      <c r="P93" s="9" t="s">
        <v>68</v>
      </c>
    </row>
    <row r="94" spans="1:16" x14ac:dyDescent="0.25">
      <c r="A94" s="6">
        <v>3</v>
      </c>
      <c r="B94" s="7" t="s">
        <v>151</v>
      </c>
      <c r="C94" s="7">
        <v>1209</v>
      </c>
      <c r="D94" s="7">
        <v>1070.6949999999999</v>
      </c>
      <c r="E94" s="7">
        <v>1294470</v>
      </c>
      <c r="F94" s="7">
        <v>1052</v>
      </c>
      <c r="G94" s="7">
        <v>1294470</v>
      </c>
      <c r="H94" s="7">
        <v>149.95500000000001</v>
      </c>
      <c r="I94" s="3" t="s">
        <v>19</v>
      </c>
      <c r="J94" s="7" t="s">
        <v>39</v>
      </c>
      <c r="K94" s="8" t="s">
        <v>48</v>
      </c>
      <c r="L94" s="7">
        <f t="shared" si="21"/>
        <v>37.488750000000003</v>
      </c>
      <c r="M94" s="6" t="s">
        <v>56</v>
      </c>
      <c r="N94" s="7">
        <f t="shared" ref="N94:N97" si="22">G94-(((G$98/C$98*C94)+(G$99/C$99*C94)+(G$100/C$100*C94))/3)</f>
        <v>44791.035944860429</v>
      </c>
      <c r="O94" s="7">
        <f t="shared" si="19"/>
        <v>1194.7860610145824</v>
      </c>
      <c r="P94" s="9" t="s">
        <v>68</v>
      </c>
    </row>
    <row r="95" spans="1:16" x14ac:dyDescent="0.25">
      <c r="A95" s="6">
        <v>4</v>
      </c>
      <c r="B95" s="7" t="s">
        <v>152</v>
      </c>
      <c r="C95" s="7">
        <v>1619</v>
      </c>
      <c r="D95" s="7">
        <v>1216.933</v>
      </c>
      <c r="E95" s="7">
        <v>1970214</v>
      </c>
      <c r="F95" s="7">
        <v>1089</v>
      </c>
      <c r="G95" s="7">
        <v>1970214</v>
      </c>
      <c r="H95" s="7">
        <v>201.69800000000001</v>
      </c>
      <c r="I95" s="3" t="s">
        <v>20</v>
      </c>
      <c r="J95" s="7" t="s">
        <v>39</v>
      </c>
      <c r="K95" s="8" t="s">
        <v>48</v>
      </c>
      <c r="L95" s="7">
        <f t="shared" si="21"/>
        <v>50.424500000000002</v>
      </c>
      <c r="M95" s="6" t="s">
        <v>56</v>
      </c>
      <c r="N95" s="7">
        <f t="shared" si="22"/>
        <v>296739.8537590811</v>
      </c>
      <c r="O95" s="7">
        <f t="shared" si="19"/>
        <v>5884.8348274961791</v>
      </c>
      <c r="P95" s="9" t="s">
        <v>68</v>
      </c>
    </row>
    <row r="96" spans="1:16" x14ac:dyDescent="0.25">
      <c r="A96" s="6">
        <v>5</v>
      </c>
      <c r="B96" s="7" t="s">
        <v>153</v>
      </c>
      <c r="C96" s="7">
        <v>2128</v>
      </c>
      <c r="D96" s="7">
        <v>1275.252</v>
      </c>
      <c r="E96" s="7">
        <v>2713737</v>
      </c>
      <c r="F96" s="7">
        <v>1099</v>
      </c>
      <c r="G96" s="7">
        <v>2713737</v>
      </c>
      <c r="H96" s="7">
        <v>265.029</v>
      </c>
      <c r="I96" s="3" t="s">
        <v>21</v>
      </c>
      <c r="J96" s="7" t="s">
        <v>39</v>
      </c>
      <c r="K96" s="8" t="s">
        <v>48</v>
      </c>
      <c r="L96" s="7">
        <f t="shared" si="21"/>
        <v>66.257249999999999</v>
      </c>
      <c r="M96" s="6" t="s">
        <v>56</v>
      </c>
      <c r="N96" s="7">
        <f t="shared" si="22"/>
        <v>514136.63977722311</v>
      </c>
      <c r="O96" s="7">
        <f t="shared" si="19"/>
        <v>7759.7038780997264</v>
      </c>
      <c r="P96" s="9" t="s">
        <v>68</v>
      </c>
    </row>
    <row r="97" spans="1:16" x14ac:dyDescent="0.25">
      <c r="A97" s="6">
        <v>6</v>
      </c>
      <c r="B97" s="7" t="s">
        <v>154</v>
      </c>
      <c r="C97" s="7">
        <v>1851</v>
      </c>
      <c r="D97" s="7">
        <v>1190.1659999999999</v>
      </c>
      <c r="E97" s="7">
        <v>2202997</v>
      </c>
      <c r="F97" s="7">
        <v>1077</v>
      </c>
      <c r="G97" s="7">
        <v>2202997</v>
      </c>
      <c r="H97" s="7">
        <v>230.06200000000001</v>
      </c>
      <c r="I97" s="3" t="s">
        <v>22</v>
      </c>
      <c r="J97" s="7" t="s">
        <v>39</v>
      </c>
      <c r="K97" s="8" t="s">
        <v>48</v>
      </c>
      <c r="L97" s="7">
        <f t="shared" si="21"/>
        <v>57.515500000000003</v>
      </c>
      <c r="M97" s="6" t="s">
        <v>56</v>
      </c>
      <c r="N97" s="7">
        <f t="shared" si="22"/>
        <v>289716.79944907897</v>
      </c>
      <c r="O97" s="7">
        <f t="shared" si="19"/>
        <v>5037.1951812829402</v>
      </c>
      <c r="P97" s="9" t="s">
        <v>68</v>
      </c>
    </row>
    <row r="98" spans="1:16" x14ac:dyDescent="0.25">
      <c r="A98" s="6">
        <v>7</v>
      </c>
      <c r="B98" s="7" t="s">
        <v>155</v>
      </c>
      <c r="C98" s="7">
        <v>1250</v>
      </c>
      <c r="D98" s="7">
        <v>1032.895</v>
      </c>
      <c r="E98" s="7">
        <v>1291119</v>
      </c>
      <c r="F98" s="7">
        <v>1032</v>
      </c>
      <c r="G98" s="7">
        <v>1291119</v>
      </c>
      <c r="H98" s="7">
        <v>155.654</v>
      </c>
      <c r="I98" s="7" t="s">
        <v>24</v>
      </c>
      <c r="J98" s="7"/>
      <c r="K98" s="8" t="s">
        <v>48</v>
      </c>
      <c r="L98" s="7">
        <f t="shared" si="21"/>
        <v>38.913499999999999</v>
      </c>
      <c r="M98" s="6" t="s">
        <v>56</v>
      </c>
      <c r="N98" s="7"/>
      <c r="O98" s="7">
        <f t="shared" si="19"/>
        <v>0</v>
      </c>
      <c r="P98" s="9" t="s">
        <v>68</v>
      </c>
    </row>
    <row r="99" spans="1:16" x14ac:dyDescent="0.25">
      <c r="A99" s="6">
        <v>8</v>
      </c>
      <c r="B99" s="7" t="s">
        <v>156</v>
      </c>
      <c r="C99" s="7">
        <v>1507</v>
      </c>
      <c r="D99" s="7">
        <v>1033.818</v>
      </c>
      <c r="E99" s="7">
        <v>1557964</v>
      </c>
      <c r="F99" s="7">
        <v>1033</v>
      </c>
      <c r="G99" s="7">
        <v>1557964</v>
      </c>
      <c r="H99" s="7">
        <v>186.80600000000001</v>
      </c>
      <c r="I99" s="7" t="s">
        <v>24</v>
      </c>
      <c r="J99" s="7"/>
      <c r="K99" s="8" t="s">
        <v>48</v>
      </c>
      <c r="L99" s="7">
        <f t="shared" si="21"/>
        <v>46.701500000000003</v>
      </c>
      <c r="M99" s="6" t="s">
        <v>56</v>
      </c>
      <c r="N99" s="7"/>
      <c r="O99" s="7">
        <f t="shared" si="19"/>
        <v>0</v>
      </c>
      <c r="P99" s="9" t="s">
        <v>68</v>
      </c>
    </row>
    <row r="100" spans="1:16" x14ac:dyDescent="0.25">
      <c r="A100" s="6">
        <v>9</v>
      </c>
      <c r="B100" s="7" t="s">
        <v>157</v>
      </c>
      <c r="C100" s="7">
        <v>1683</v>
      </c>
      <c r="D100" s="7">
        <v>1034.2270000000001</v>
      </c>
      <c r="E100" s="7">
        <v>1740604</v>
      </c>
      <c r="F100" s="7">
        <v>1033</v>
      </c>
      <c r="G100" s="7">
        <v>1740604</v>
      </c>
      <c r="H100" s="7">
        <v>208.84899999999999</v>
      </c>
      <c r="I100" s="7" t="s">
        <v>24</v>
      </c>
      <c r="J100" s="7"/>
      <c r="K100" s="8" t="s">
        <v>48</v>
      </c>
      <c r="L100" s="7">
        <f t="shared" si="21"/>
        <v>52.212249999999997</v>
      </c>
      <c r="M100" s="6" t="s">
        <v>56</v>
      </c>
      <c r="N100" s="7"/>
      <c r="O100" s="7">
        <f t="shared" si="19"/>
        <v>0</v>
      </c>
      <c r="P100" s="9" t="s">
        <v>68</v>
      </c>
    </row>
    <row r="101" spans="1:16" x14ac:dyDescent="0.25">
      <c r="A101" s="2">
        <v>1</v>
      </c>
      <c r="B101" s="3" t="s">
        <v>158</v>
      </c>
      <c r="C101" s="3">
        <v>1652</v>
      </c>
      <c r="D101" s="3">
        <v>1215.8620000000001</v>
      </c>
      <c r="E101" s="3">
        <v>2008604</v>
      </c>
      <c r="F101" s="3">
        <v>1093</v>
      </c>
      <c r="G101" s="3">
        <v>2008604</v>
      </c>
      <c r="H101" s="3">
        <v>205.744</v>
      </c>
      <c r="I101" s="3" t="s">
        <v>25</v>
      </c>
      <c r="J101" s="3" t="s">
        <v>39</v>
      </c>
      <c r="K101" s="8" t="s">
        <v>48</v>
      </c>
      <c r="L101" s="3">
        <f>H101/4</f>
        <v>51.436</v>
      </c>
      <c r="M101" s="3" t="s">
        <v>50</v>
      </c>
      <c r="N101" s="3">
        <f>G101-(((G$108/C$108*C101)+(G$109/C$109*C101)+(G$110/C$110*C101))/3)</f>
        <v>300283.66871056869</v>
      </c>
      <c r="O101" s="7">
        <f t="shared" si="19"/>
        <v>5838.0058463054802</v>
      </c>
      <c r="P101" s="5" t="s">
        <v>68</v>
      </c>
    </row>
    <row r="102" spans="1:16" x14ac:dyDescent="0.25">
      <c r="A102" s="6">
        <v>2</v>
      </c>
      <c r="B102" s="7" t="s">
        <v>159</v>
      </c>
      <c r="C102" s="7">
        <v>1606</v>
      </c>
      <c r="D102" s="7">
        <v>1244.2190000000001</v>
      </c>
      <c r="E102" s="7">
        <v>1998215</v>
      </c>
      <c r="F102" s="7">
        <v>1107</v>
      </c>
      <c r="G102" s="7">
        <v>1998215</v>
      </c>
      <c r="H102" s="7">
        <v>200.38800000000001</v>
      </c>
      <c r="I102" s="3" t="s">
        <v>26</v>
      </c>
      <c r="J102" s="7" t="s">
        <v>39</v>
      </c>
      <c r="K102" s="8" t="s">
        <v>48</v>
      </c>
      <c r="L102" s="7">
        <f>H102/4</f>
        <v>50.097000000000001</v>
      </c>
      <c r="M102" s="7" t="s">
        <v>50</v>
      </c>
      <c r="N102" s="7">
        <f>G102-(((G$108/C$108*C102)+(G$109/C$109*C102)+(G$110/C$110*C102))/3)</f>
        <v>337462.91038085544</v>
      </c>
      <c r="O102" s="7">
        <f t="shared" si="19"/>
        <v>6736.1899990190113</v>
      </c>
      <c r="P102" s="9" t="s">
        <v>68</v>
      </c>
    </row>
    <row r="103" spans="1:16" x14ac:dyDescent="0.25">
      <c r="A103" s="6">
        <v>3</v>
      </c>
      <c r="B103" s="7" t="s">
        <v>160</v>
      </c>
      <c r="C103" s="7">
        <v>1708</v>
      </c>
      <c r="D103" s="7">
        <v>1312.7190000000001</v>
      </c>
      <c r="E103" s="7">
        <v>2242124</v>
      </c>
      <c r="F103" s="7">
        <v>1127</v>
      </c>
      <c r="G103" s="7">
        <v>2242124</v>
      </c>
      <c r="H103" s="7">
        <v>214.376</v>
      </c>
      <c r="I103" s="3" t="s">
        <v>27</v>
      </c>
      <c r="J103" s="7" t="s">
        <v>39</v>
      </c>
      <c r="K103" s="8" t="s">
        <v>48</v>
      </c>
      <c r="L103" s="7">
        <f t="shared" ref="L103:L110" si="23">H103/4</f>
        <v>53.594000000000001</v>
      </c>
      <c r="M103" s="7" t="s">
        <v>50</v>
      </c>
      <c r="N103" s="7">
        <f>G103-(((G$108/C$108*C103)+(G$109/C$109*C103)+(G$110/C$110*C103))/3)</f>
        <v>475894.50493804552</v>
      </c>
      <c r="O103" s="7">
        <f t="shared" si="19"/>
        <v>8879.6228110991069</v>
      </c>
      <c r="P103" s="9" t="s">
        <v>68</v>
      </c>
    </row>
    <row r="104" spans="1:16" x14ac:dyDescent="0.25">
      <c r="A104" s="6">
        <v>4</v>
      </c>
      <c r="B104" s="7" t="s">
        <v>161</v>
      </c>
      <c r="C104" s="7">
        <v>1800</v>
      </c>
      <c r="D104" s="7">
        <v>1257.367</v>
      </c>
      <c r="E104" s="7">
        <v>2263261</v>
      </c>
      <c r="F104" s="7">
        <v>1102</v>
      </c>
      <c r="G104" s="7">
        <v>2263261</v>
      </c>
      <c r="H104" s="7">
        <v>223.97300000000001</v>
      </c>
      <c r="I104" s="3" t="s">
        <v>28</v>
      </c>
      <c r="J104" s="7" t="s">
        <v>39</v>
      </c>
      <c r="K104" s="8" t="s">
        <v>48</v>
      </c>
      <c r="L104" s="7">
        <f t="shared" si="23"/>
        <v>55.993250000000003</v>
      </c>
      <c r="M104" s="7" t="s">
        <v>50</v>
      </c>
      <c r="N104" s="7">
        <f>G104-(((G$108/C$108*C104)+(G$109/C$109*C104)+(G$110/C$110*C104))/3)</f>
        <v>401895.02159747179</v>
      </c>
      <c r="O104" s="7">
        <f t="shared" si="19"/>
        <v>7177.561966799065</v>
      </c>
      <c r="P104" s="9" t="s">
        <v>68</v>
      </c>
    </row>
    <row r="105" spans="1:16" x14ac:dyDescent="0.25">
      <c r="A105" s="6">
        <v>5</v>
      </c>
      <c r="B105" s="7" t="s">
        <v>162</v>
      </c>
      <c r="C105" s="7">
        <v>1568</v>
      </c>
      <c r="D105" s="7">
        <v>1135.2529999999999</v>
      </c>
      <c r="E105" s="7">
        <v>1780076</v>
      </c>
      <c r="F105" s="7">
        <v>1070</v>
      </c>
      <c r="G105" s="7">
        <v>1780076</v>
      </c>
      <c r="H105" s="7">
        <v>194.36799999999999</v>
      </c>
      <c r="I105" s="3" t="s">
        <v>30</v>
      </c>
      <c r="J105" s="7" t="s">
        <v>39</v>
      </c>
      <c r="K105" s="8" t="s">
        <v>48</v>
      </c>
      <c r="L105" s="7">
        <f t="shared" si="23"/>
        <v>48.591999999999999</v>
      </c>
      <c r="M105" s="7" t="s">
        <v>50</v>
      </c>
      <c r="N105" s="7">
        <f>G105-(((G$108/C$108*C105)+(G$109/C$109*C105)+(G$110/C$110*C105))/3)</f>
        <v>158619.41436935333</v>
      </c>
      <c r="O105" s="7">
        <f t="shared" si="19"/>
        <v>3264.3112934094775</v>
      </c>
      <c r="P105" s="9" t="s">
        <v>68</v>
      </c>
    </row>
    <row r="106" spans="1:16" x14ac:dyDescent="0.25">
      <c r="A106" s="6">
        <v>6</v>
      </c>
      <c r="B106" s="7" t="s">
        <v>163</v>
      </c>
      <c r="C106" s="7">
        <v>2074</v>
      </c>
      <c r="D106" s="7">
        <v>1348.1279999999999</v>
      </c>
      <c r="E106" s="7">
        <v>2796017</v>
      </c>
      <c r="F106" s="7">
        <v>1115</v>
      </c>
      <c r="G106" s="7">
        <v>2796017</v>
      </c>
      <c r="H106" s="7">
        <v>258.88</v>
      </c>
      <c r="I106" s="3" t="s">
        <v>40</v>
      </c>
      <c r="J106" s="7" t="s">
        <v>39</v>
      </c>
      <c r="K106" s="8" t="s">
        <v>48</v>
      </c>
      <c r="L106" s="7">
        <f t="shared" ref="L106:L107" si="24">H106/4</f>
        <v>64.72</v>
      </c>
      <c r="M106" s="7" t="s">
        <v>50</v>
      </c>
      <c r="N106" s="7">
        <f t="shared" ref="N106:N107" si="25">G106-(((G$108/C$108*C106)+(G$109/C$109*C106)+(G$110/C$110*C106))/3)</f>
        <v>651309.75599619793</v>
      </c>
      <c r="O106" s="7">
        <f t="shared" si="19"/>
        <v>10063.500556183528</v>
      </c>
      <c r="P106" s="9" t="s">
        <v>68</v>
      </c>
    </row>
    <row r="107" spans="1:16" x14ac:dyDescent="0.25">
      <c r="A107" s="6">
        <v>7</v>
      </c>
      <c r="B107" s="7" t="s">
        <v>164</v>
      </c>
      <c r="C107" s="7">
        <v>1912</v>
      </c>
      <c r="D107" s="7">
        <v>1302.125</v>
      </c>
      <c r="E107" s="7">
        <v>2489663</v>
      </c>
      <c r="F107" s="7">
        <v>1115</v>
      </c>
      <c r="G107" s="7">
        <v>2489663</v>
      </c>
      <c r="H107" s="7">
        <v>237.65700000000001</v>
      </c>
      <c r="I107" s="3" t="s">
        <v>31</v>
      </c>
      <c r="J107" s="7" t="s">
        <v>39</v>
      </c>
      <c r="K107" s="8" t="s">
        <v>48</v>
      </c>
      <c r="L107" s="7">
        <f t="shared" si="24"/>
        <v>59.414250000000003</v>
      </c>
      <c r="M107" s="7" t="s">
        <v>50</v>
      </c>
      <c r="N107" s="7">
        <f t="shared" si="25"/>
        <v>512478.69405242591</v>
      </c>
      <c r="O107" s="7">
        <f t="shared" si="19"/>
        <v>8625.5181888591687</v>
      </c>
      <c r="P107" s="9" t="s">
        <v>68</v>
      </c>
    </row>
    <row r="108" spans="1:16" x14ac:dyDescent="0.25">
      <c r="A108" s="6">
        <v>8</v>
      </c>
      <c r="B108" s="7" t="s">
        <v>165</v>
      </c>
      <c r="C108" s="7">
        <v>1782</v>
      </c>
      <c r="D108" s="7">
        <v>1033.7139999999999</v>
      </c>
      <c r="E108" s="7">
        <v>1842079</v>
      </c>
      <c r="F108" s="7">
        <v>1033</v>
      </c>
      <c r="G108" s="7">
        <v>1842079</v>
      </c>
      <c r="H108" s="7">
        <v>222.10300000000001</v>
      </c>
      <c r="I108" s="7" t="s">
        <v>24</v>
      </c>
      <c r="J108" s="7"/>
      <c r="K108" s="8" t="s">
        <v>48</v>
      </c>
      <c r="L108" s="7">
        <f t="shared" si="23"/>
        <v>55.525750000000002</v>
      </c>
      <c r="M108" s="7" t="s">
        <v>50</v>
      </c>
      <c r="N108" s="7"/>
      <c r="O108" s="7">
        <f t="shared" si="19"/>
        <v>0</v>
      </c>
      <c r="P108" s="9" t="s">
        <v>68</v>
      </c>
    </row>
    <row r="109" spans="1:16" x14ac:dyDescent="0.25">
      <c r="A109" s="6">
        <v>9</v>
      </c>
      <c r="B109" s="7" t="s">
        <v>166</v>
      </c>
      <c r="C109" s="7">
        <v>1297</v>
      </c>
      <c r="D109" s="7">
        <v>1035.1210000000001</v>
      </c>
      <c r="E109" s="7">
        <v>1342552</v>
      </c>
      <c r="F109" s="7">
        <v>1035</v>
      </c>
      <c r="G109" s="7">
        <v>1342552</v>
      </c>
      <c r="H109" s="7">
        <v>160.99799999999999</v>
      </c>
      <c r="I109" s="7" t="s">
        <v>24</v>
      </c>
      <c r="J109" s="7"/>
      <c r="K109" s="8" t="s">
        <v>48</v>
      </c>
      <c r="L109" s="7">
        <f t="shared" si="23"/>
        <v>40.249499999999998</v>
      </c>
      <c r="M109" s="7" t="s">
        <v>50</v>
      </c>
      <c r="N109" s="7"/>
      <c r="O109" s="7">
        <f t="shared" si="19"/>
        <v>0</v>
      </c>
      <c r="P109" s="9" t="s">
        <v>68</v>
      </c>
    </row>
    <row r="110" spans="1:16" x14ac:dyDescent="0.25">
      <c r="A110" s="10">
        <v>10</v>
      </c>
      <c r="B110" s="11" t="s">
        <v>167</v>
      </c>
      <c r="C110" s="11">
        <v>1480</v>
      </c>
      <c r="D110" s="11">
        <v>1033.441</v>
      </c>
      <c r="E110" s="11">
        <v>1529493</v>
      </c>
      <c r="F110" s="11">
        <v>1032</v>
      </c>
      <c r="G110" s="11">
        <v>1529493</v>
      </c>
      <c r="H110" s="11">
        <v>183.827</v>
      </c>
      <c r="I110" s="7" t="s">
        <v>24</v>
      </c>
      <c r="J110" s="11"/>
      <c r="K110" s="8" t="s">
        <v>48</v>
      </c>
      <c r="L110" s="11">
        <f t="shared" si="23"/>
        <v>45.95675</v>
      </c>
      <c r="M110" s="7" t="s">
        <v>50</v>
      </c>
      <c r="N110" s="11"/>
      <c r="O110" s="7">
        <f t="shared" si="19"/>
        <v>0</v>
      </c>
      <c r="P110" s="13" t="s">
        <v>68</v>
      </c>
    </row>
    <row r="111" spans="1:16" x14ac:dyDescent="0.25">
      <c r="A111" s="7">
        <v>1</v>
      </c>
      <c r="B111" s="7" t="s">
        <v>168</v>
      </c>
      <c r="C111" s="7">
        <v>1905</v>
      </c>
      <c r="D111" s="7">
        <v>1207.5609999999999</v>
      </c>
      <c r="E111" s="7">
        <v>2300404</v>
      </c>
      <c r="F111" s="7">
        <v>1085</v>
      </c>
      <c r="G111" s="7">
        <v>2300404</v>
      </c>
      <c r="H111" s="7">
        <v>236.982</v>
      </c>
      <c r="I111" s="7" t="s">
        <v>32</v>
      </c>
      <c r="J111" s="3" t="s">
        <v>39</v>
      </c>
      <c r="K111" s="8" t="s">
        <v>48</v>
      </c>
      <c r="L111" s="3">
        <f>H111/4</f>
        <v>59.2455</v>
      </c>
      <c r="M111" s="7" t="s">
        <v>57</v>
      </c>
      <c r="N111" s="3">
        <f>G111-(((G$119/C$119*C111)+(G$120/C$120*C111)+(G$121/C$121*C111))/3)</f>
        <v>328919.64431448071</v>
      </c>
      <c r="O111" s="7">
        <f t="shared" si="19"/>
        <v>5551.8080582403845</v>
      </c>
      <c r="P111" s="5" t="s">
        <v>68</v>
      </c>
    </row>
    <row r="112" spans="1:16" x14ac:dyDescent="0.25">
      <c r="A112" s="7">
        <v>2</v>
      </c>
      <c r="B112" s="7" t="s">
        <v>169</v>
      </c>
      <c r="C112" s="7">
        <v>1558</v>
      </c>
      <c r="D112" s="7">
        <v>1235.048</v>
      </c>
      <c r="E112" s="7">
        <v>1924205</v>
      </c>
      <c r="F112" s="7">
        <v>1099</v>
      </c>
      <c r="G112" s="7">
        <v>1924205</v>
      </c>
      <c r="H112" s="7">
        <v>193.82300000000001</v>
      </c>
      <c r="I112" s="7" t="s">
        <v>33</v>
      </c>
      <c r="J112" s="7" t="s">
        <v>39</v>
      </c>
      <c r="K112" s="8" t="s">
        <v>48</v>
      </c>
      <c r="L112" s="7">
        <f>H112/4</f>
        <v>48.455750000000002</v>
      </c>
      <c r="M112" s="7" t="s">
        <v>57</v>
      </c>
      <c r="N112" s="3">
        <f>G112-(((G$119/C$119*C112)+(G$120/C$120*C112)+(G$121/C$121*C112))/3)</f>
        <v>311830.91802727617</v>
      </c>
      <c r="O112" s="7">
        <f t="shared" si="19"/>
        <v>6435.3749147887747</v>
      </c>
      <c r="P112" s="9" t="s">
        <v>68</v>
      </c>
    </row>
    <row r="113" spans="1:16" x14ac:dyDescent="0.25">
      <c r="A113" s="7">
        <v>3</v>
      </c>
      <c r="B113" s="7" t="s">
        <v>170</v>
      </c>
      <c r="C113" s="7">
        <v>2081</v>
      </c>
      <c r="D113" s="7">
        <v>1322.4190000000001</v>
      </c>
      <c r="E113" s="7">
        <v>2751953</v>
      </c>
      <c r="F113" s="7">
        <v>1116</v>
      </c>
      <c r="G113" s="7">
        <v>2751953</v>
      </c>
      <c r="H113" s="7">
        <v>259.17899999999997</v>
      </c>
      <c r="I113" s="7" t="s">
        <v>44</v>
      </c>
      <c r="J113" s="7" t="s">
        <v>39</v>
      </c>
      <c r="K113" s="8" t="s">
        <v>48</v>
      </c>
      <c r="L113" s="7">
        <f t="shared" ref="L113:L121" si="26">H113/4</f>
        <v>64.794749999999993</v>
      </c>
      <c r="M113" s="7" t="s">
        <v>57</v>
      </c>
      <c r="N113" s="3">
        <f t="shared" ref="N113:N118" si="27">G113-(((G$119/C$119*C113)+(G$120/C$120*C113)+(G$121/C$121*C113))/3)</f>
        <v>598326.25764747197</v>
      </c>
      <c r="O113" s="7">
        <f t="shared" si="19"/>
        <v>9234.1780413918113</v>
      </c>
      <c r="P113" s="9" t="s">
        <v>68</v>
      </c>
    </row>
    <row r="114" spans="1:16" x14ac:dyDescent="0.25">
      <c r="A114" s="7">
        <v>4</v>
      </c>
      <c r="B114" s="7" t="s">
        <v>171</v>
      </c>
      <c r="C114" s="7">
        <v>2086</v>
      </c>
      <c r="D114" s="7">
        <v>1173.171</v>
      </c>
      <c r="E114" s="7">
        <v>2447234</v>
      </c>
      <c r="F114" s="7">
        <v>1086</v>
      </c>
      <c r="G114" s="7">
        <v>2447234</v>
      </c>
      <c r="H114" s="7">
        <v>260.084</v>
      </c>
      <c r="I114" s="7" t="s">
        <v>34</v>
      </c>
      <c r="J114" s="7" t="s">
        <v>39</v>
      </c>
      <c r="K114" s="8" t="s">
        <v>48</v>
      </c>
      <c r="L114" s="7">
        <f t="shared" si="26"/>
        <v>65.021000000000001</v>
      </c>
      <c r="M114" s="7" t="s">
        <v>57</v>
      </c>
      <c r="N114" s="3">
        <f t="shared" si="27"/>
        <v>288432.75802625017</v>
      </c>
      <c r="O114" s="7">
        <f t="shared" si="19"/>
        <v>4435.9938793043812</v>
      </c>
      <c r="P114" s="9" t="s">
        <v>68</v>
      </c>
    </row>
    <row r="115" spans="1:16" x14ac:dyDescent="0.25">
      <c r="A115" s="7">
        <v>5</v>
      </c>
      <c r="B115" s="7" t="s">
        <v>172</v>
      </c>
      <c r="C115" s="7">
        <v>1884</v>
      </c>
      <c r="D115" s="7">
        <v>1346.7550000000001</v>
      </c>
      <c r="E115" s="7">
        <v>2537287</v>
      </c>
      <c r="F115" s="7">
        <v>1118</v>
      </c>
      <c r="G115" s="7">
        <v>2537287</v>
      </c>
      <c r="H115" s="7">
        <v>235.08600000000001</v>
      </c>
      <c r="I115" s="7" t="s">
        <v>35</v>
      </c>
      <c r="J115" s="7" t="s">
        <v>39</v>
      </c>
      <c r="K115" s="8" t="s">
        <v>48</v>
      </c>
      <c r="L115" s="7">
        <f t="shared" si="26"/>
        <v>58.771500000000003</v>
      </c>
      <c r="M115" s="7" t="s">
        <v>57</v>
      </c>
      <c r="N115" s="3">
        <f t="shared" si="27"/>
        <v>587535.54272361263</v>
      </c>
      <c r="O115" s="7">
        <f t="shared" si="19"/>
        <v>9996.946525503221</v>
      </c>
      <c r="P115" s="9" t="s">
        <v>68</v>
      </c>
    </row>
    <row r="116" spans="1:16" x14ac:dyDescent="0.25">
      <c r="A116" s="7">
        <v>6</v>
      </c>
      <c r="B116" s="7" t="s">
        <v>173</v>
      </c>
      <c r="C116" s="7">
        <v>1481</v>
      </c>
      <c r="D116" s="7">
        <v>1203.336</v>
      </c>
      <c r="E116" s="7">
        <v>1782140</v>
      </c>
      <c r="F116" s="7">
        <v>1088</v>
      </c>
      <c r="G116" s="7">
        <v>1782140</v>
      </c>
      <c r="H116" s="7">
        <v>184.501</v>
      </c>
      <c r="I116" s="7" t="s">
        <v>36</v>
      </c>
      <c r="J116" s="7" t="s">
        <v>39</v>
      </c>
      <c r="K116" s="8" t="s">
        <v>48</v>
      </c>
      <c r="L116" s="7">
        <f t="shared" si="26"/>
        <v>46.125250000000001</v>
      </c>
      <c r="M116" s="7" t="s">
        <v>57</v>
      </c>
      <c r="N116" s="3">
        <f t="shared" si="27"/>
        <v>249453.21219409234</v>
      </c>
      <c r="O116" s="7">
        <f t="shared" si="19"/>
        <v>5408.1704097883985</v>
      </c>
      <c r="P116" s="9" t="s">
        <v>68</v>
      </c>
    </row>
    <row r="117" spans="1:16" x14ac:dyDescent="0.25">
      <c r="A117" s="7">
        <v>7</v>
      </c>
      <c r="B117" s="7" t="s">
        <v>174</v>
      </c>
      <c r="C117" s="7">
        <v>1730</v>
      </c>
      <c r="D117" s="7">
        <v>1256.729</v>
      </c>
      <c r="E117" s="7">
        <v>2174142</v>
      </c>
      <c r="F117" s="7">
        <v>1094</v>
      </c>
      <c r="G117" s="7">
        <v>2174142</v>
      </c>
      <c r="H117" s="7">
        <v>214.90100000000001</v>
      </c>
      <c r="I117" s="7" t="s">
        <v>37</v>
      </c>
      <c r="J117" s="7" t="s">
        <v>39</v>
      </c>
      <c r="K117" s="8" t="s">
        <v>48</v>
      </c>
      <c r="L117" s="7">
        <f t="shared" si="26"/>
        <v>53.725250000000003</v>
      </c>
      <c r="M117" s="7" t="s">
        <v>57</v>
      </c>
      <c r="N117" s="3">
        <f t="shared" si="27"/>
        <v>383765.13105724496</v>
      </c>
      <c r="O117" s="7">
        <f t="shared" si="19"/>
        <v>7143.1055426870034</v>
      </c>
      <c r="P117" s="9" t="s">
        <v>68</v>
      </c>
    </row>
    <row r="118" spans="1:16" x14ac:dyDescent="0.25">
      <c r="A118" s="7">
        <v>8</v>
      </c>
      <c r="B118" s="7" t="s">
        <v>175</v>
      </c>
      <c r="C118" s="7">
        <v>1806</v>
      </c>
      <c r="D118" s="7">
        <v>1166.2719999999999</v>
      </c>
      <c r="E118" s="7">
        <v>2106287</v>
      </c>
      <c r="F118" s="7">
        <v>1072</v>
      </c>
      <c r="G118" s="7">
        <v>2106287</v>
      </c>
      <c r="H118" s="7">
        <v>224.762</v>
      </c>
      <c r="I118" s="7" t="s">
        <v>38</v>
      </c>
      <c r="J118" s="7" t="s">
        <v>39</v>
      </c>
      <c r="K118" s="8" t="s">
        <v>48</v>
      </c>
      <c r="L118" s="7">
        <f t="shared" ref="L118" si="28">H118/4</f>
        <v>56.1905</v>
      </c>
      <c r="M118" s="7" t="s">
        <v>57</v>
      </c>
      <c r="N118" s="3">
        <f t="shared" si="27"/>
        <v>237257.73681467306</v>
      </c>
      <c r="O118" s="7">
        <f t="shared" si="19"/>
        <v>4222.381662641782</v>
      </c>
      <c r="P118" s="9" t="s">
        <v>68</v>
      </c>
    </row>
    <row r="119" spans="1:16" x14ac:dyDescent="0.25">
      <c r="A119" s="7">
        <v>9</v>
      </c>
      <c r="B119" s="7" t="s">
        <v>176</v>
      </c>
      <c r="C119" s="7">
        <v>1389</v>
      </c>
      <c r="D119" s="7">
        <v>1033.855</v>
      </c>
      <c r="E119" s="7">
        <v>1436025</v>
      </c>
      <c r="F119" s="7">
        <v>1033</v>
      </c>
      <c r="G119" s="7">
        <v>1436025</v>
      </c>
      <c r="H119" s="7">
        <v>172.70599999999999</v>
      </c>
      <c r="I119" s="7" t="s">
        <v>24</v>
      </c>
      <c r="J119" s="7"/>
      <c r="K119" s="8" t="s">
        <v>48</v>
      </c>
      <c r="L119" s="7">
        <f t="shared" si="26"/>
        <v>43.176499999999997</v>
      </c>
      <c r="M119" s="7" t="s">
        <v>57</v>
      </c>
      <c r="N119" s="7"/>
      <c r="O119" s="7">
        <f t="shared" si="19"/>
        <v>0</v>
      </c>
      <c r="P119" s="9" t="s">
        <v>68</v>
      </c>
    </row>
    <row r="120" spans="1:16" x14ac:dyDescent="0.25">
      <c r="A120" s="7">
        <v>10</v>
      </c>
      <c r="B120" s="7" t="s">
        <v>177</v>
      </c>
      <c r="C120" s="7">
        <v>1192</v>
      </c>
      <c r="D120" s="7">
        <v>1035.48</v>
      </c>
      <c r="E120" s="7">
        <v>1234292</v>
      </c>
      <c r="F120" s="7">
        <v>1035</v>
      </c>
      <c r="G120" s="7">
        <v>1234292</v>
      </c>
      <c r="H120" s="7">
        <v>148.048</v>
      </c>
      <c r="I120" s="7" t="s">
        <v>24</v>
      </c>
      <c r="J120" s="7"/>
      <c r="K120" s="8" t="s">
        <v>48</v>
      </c>
      <c r="L120" s="7">
        <f t="shared" si="26"/>
        <v>37.012</v>
      </c>
      <c r="M120" s="7" t="s">
        <v>57</v>
      </c>
      <c r="N120" s="7"/>
      <c r="O120" s="7">
        <f t="shared" si="19"/>
        <v>0</v>
      </c>
      <c r="P120" s="9" t="s">
        <v>68</v>
      </c>
    </row>
    <row r="121" spans="1:16" ht="15.75" thickBot="1" x14ac:dyDescent="0.3">
      <c r="A121" s="14">
        <v>11</v>
      </c>
      <c r="B121" s="14" t="s">
        <v>178</v>
      </c>
      <c r="C121" s="14">
        <v>1300</v>
      </c>
      <c r="D121" s="14">
        <v>1035.365</v>
      </c>
      <c r="E121" s="14">
        <v>1345974</v>
      </c>
      <c r="F121" s="14">
        <v>1035</v>
      </c>
      <c r="G121" s="14">
        <v>1345974</v>
      </c>
      <c r="H121" s="14">
        <v>161.512</v>
      </c>
      <c r="I121" s="14" t="s">
        <v>24</v>
      </c>
      <c r="J121" s="14"/>
      <c r="K121" s="15" t="s">
        <v>48</v>
      </c>
      <c r="L121" s="14">
        <f t="shared" si="26"/>
        <v>40.378</v>
      </c>
      <c r="M121" s="14" t="s">
        <v>57</v>
      </c>
      <c r="N121" s="14"/>
      <c r="O121" s="14">
        <f t="shared" si="19"/>
        <v>0</v>
      </c>
      <c r="P121" s="16" t="s">
        <v>68</v>
      </c>
    </row>
  </sheetData>
  <phoneticPr fontId="1" type="noConversion"/>
  <conditionalFormatting sqref="O2:O11"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2:O121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2025-04-03T14:05:11Z</dcterms:modified>
</cp:coreProperties>
</file>