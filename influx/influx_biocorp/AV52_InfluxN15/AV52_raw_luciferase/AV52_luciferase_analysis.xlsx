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filterPrivacy="1"/>
  <xr:revisionPtr revIDLastSave="0" documentId="13_ncr:1_{AC9AE0B3-69F6-BE45-9188-3603AC1553A3}" xr6:coauthVersionLast="36" xr6:coauthVersionMax="36" xr10:uidLastSave="{00000000-0000-0000-0000-000000000000}"/>
  <bookViews>
    <workbookView xWindow="29020" yWindow="-180" windowWidth="27260" windowHeight="1936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8" i="1" l="1"/>
  <c r="N67" i="1"/>
  <c r="L67" i="1"/>
  <c r="O67" i="1"/>
  <c r="L68" i="1"/>
  <c r="O68" i="1" s="1"/>
  <c r="L69" i="1"/>
  <c r="N69" i="1"/>
  <c r="L72" i="1"/>
  <c r="N72" i="1"/>
  <c r="L73" i="1"/>
  <c r="N73" i="1"/>
  <c r="L74" i="1"/>
  <c r="N74" i="1"/>
  <c r="O74" i="1" s="1"/>
  <c r="L46" i="1"/>
  <c r="N46" i="1"/>
  <c r="O46" i="1" s="1"/>
  <c r="O69" i="1" l="1"/>
  <c r="O72" i="1"/>
  <c r="O73" i="1"/>
  <c r="N79" i="1"/>
  <c r="N78" i="1"/>
  <c r="N81" i="1"/>
  <c r="N80" i="1"/>
  <c r="N71" i="1"/>
  <c r="N70" i="1"/>
  <c r="N58" i="1"/>
  <c r="N57" i="1"/>
  <c r="N50" i="1"/>
  <c r="N49" i="1"/>
  <c r="N48" i="1"/>
  <c r="N47" i="1"/>
  <c r="N36" i="1"/>
  <c r="N37" i="1"/>
  <c r="N38" i="1"/>
  <c r="N39" i="1"/>
  <c r="N40" i="1"/>
  <c r="N41" i="1"/>
  <c r="N42" i="1"/>
  <c r="N35" i="1"/>
  <c r="N28" i="1"/>
  <c r="N27" i="1"/>
  <c r="N26" i="1"/>
  <c r="N25" i="1"/>
  <c r="N24" i="1"/>
  <c r="N13" i="1"/>
  <c r="N9" i="1"/>
  <c r="N8" i="1"/>
  <c r="L2" i="1" l="1"/>
  <c r="L55" i="1"/>
  <c r="L56" i="1"/>
  <c r="L57" i="1"/>
  <c r="O57" i="1" s="1"/>
  <c r="L58" i="1"/>
  <c r="O58" i="1" s="1"/>
  <c r="L59" i="1"/>
  <c r="L60" i="1"/>
  <c r="L61" i="1"/>
  <c r="L62" i="1"/>
  <c r="L63" i="1"/>
  <c r="L64" i="1"/>
  <c r="O64" i="1" s="1"/>
  <c r="L65" i="1"/>
  <c r="O65" i="1" s="1"/>
  <c r="L66" i="1"/>
  <c r="O66" i="1" s="1"/>
  <c r="L70" i="1"/>
  <c r="L71" i="1"/>
  <c r="O71" i="1" s="1"/>
  <c r="L75" i="1"/>
  <c r="O75" i="1" s="1"/>
  <c r="L76" i="1"/>
  <c r="O76" i="1" s="1"/>
  <c r="L77" i="1"/>
  <c r="O77" i="1" s="1"/>
  <c r="L78" i="1"/>
  <c r="O78" i="1" s="1"/>
  <c r="L79" i="1"/>
  <c r="O79" i="1" s="1"/>
  <c r="L80" i="1"/>
  <c r="O80" i="1" s="1"/>
  <c r="N63" i="1"/>
  <c r="N62" i="1"/>
  <c r="L49" i="1"/>
  <c r="L48" i="1"/>
  <c r="L32" i="1"/>
  <c r="O32" i="1" s="1"/>
  <c r="L33" i="1"/>
  <c r="O33" i="1" s="1"/>
  <c r="L34" i="1"/>
  <c r="O34" i="1" s="1"/>
  <c r="L30" i="1"/>
  <c r="L31" i="1"/>
  <c r="N31" i="1"/>
  <c r="N29" i="1"/>
  <c r="N30" i="1"/>
  <c r="O31" i="1" l="1"/>
  <c r="O30" i="1"/>
  <c r="O63" i="1"/>
  <c r="O62" i="1"/>
  <c r="L24" i="1"/>
  <c r="O24" i="1" s="1"/>
  <c r="L25" i="1"/>
  <c r="O25" i="1" s="1"/>
  <c r="L26" i="1"/>
  <c r="O26" i="1" s="1"/>
  <c r="L27" i="1"/>
  <c r="O27" i="1" s="1"/>
  <c r="L28" i="1"/>
  <c r="O28" i="1" s="1"/>
  <c r="L29" i="1"/>
  <c r="O29" i="1" s="1"/>
  <c r="L35" i="1"/>
  <c r="L36" i="1"/>
  <c r="O36" i="1" s="1"/>
  <c r="L37" i="1"/>
  <c r="L38" i="1"/>
  <c r="O38" i="1" s="1"/>
  <c r="L39" i="1"/>
  <c r="O39" i="1" s="1"/>
  <c r="L40" i="1"/>
  <c r="L41" i="1"/>
  <c r="O41" i="1" s="1"/>
  <c r="L42" i="1"/>
  <c r="O42" i="1" s="1"/>
  <c r="L43" i="1"/>
  <c r="O43" i="1" s="1"/>
  <c r="L44" i="1"/>
  <c r="O44" i="1" s="1"/>
  <c r="L45" i="1"/>
  <c r="O45" i="1" s="1"/>
  <c r="L47" i="1"/>
  <c r="O48" i="1"/>
  <c r="O49" i="1"/>
  <c r="L50" i="1"/>
  <c r="L51" i="1"/>
  <c r="N51" i="1"/>
  <c r="L52" i="1"/>
  <c r="N52" i="1"/>
  <c r="L53" i="1"/>
  <c r="N53" i="1"/>
  <c r="L54" i="1"/>
  <c r="O54" i="1" s="1"/>
  <c r="O55" i="1"/>
  <c r="O56" i="1"/>
  <c r="N59" i="1"/>
  <c r="O59" i="1" s="1"/>
  <c r="N60" i="1"/>
  <c r="O60" i="1" s="1"/>
  <c r="N61" i="1"/>
  <c r="O61" i="1" s="1"/>
  <c r="O70" i="1"/>
  <c r="L81" i="1"/>
  <c r="O81" i="1" s="1"/>
  <c r="L82" i="1"/>
  <c r="N82" i="1"/>
  <c r="L83" i="1"/>
  <c r="N83" i="1"/>
  <c r="O83" i="1" s="1"/>
  <c r="L84" i="1"/>
  <c r="N84" i="1"/>
  <c r="L85" i="1"/>
  <c r="N85" i="1"/>
  <c r="O85" i="1" s="1"/>
  <c r="L86" i="1"/>
  <c r="O86" i="1" s="1"/>
  <c r="L87" i="1"/>
  <c r="O87" i="1" s="1"/>
  <c r="L88" i="1"/>
  <c r="O88" i="1" s="1"/>
  <c r="O84" i="1" l="1"/>
  <c r="O82" i="1"/>
  <c r="O52" i="1"/>
  <c r="O50" i="1"/>
  <c r="O37" i="1"/>
  <c r="O47" i="1"/>
  <c r="O53" i="1"/>
  <c r="O51" i="1"/>
  <c r="O35" i="1"/>
  <c r="O40" i="1"/>
  <c r="N15" i="1"/>
  <c r="N14" i="1"/>
  <c r="N16" i="1"/>
  <c r="N17" i="1"/>
  <c r="N18" i="1"/>
  <c r="N19" i="1"/>
  <c r="N20" i="1"/>
  <c r="L23" i="1"/>
  <c r="O23" i="1" s="1"/>
  <c r="L22" i="1"/>
  <c r="O22" i="1" s="1"/>
  <c r="L21" i="1"/>
  <c r="O21" i="1" s="1"/>
  <c r="L20" i="1"/>
  <c r="L19" i="1"/>
  <c r="L18" i="1"/>
  <c r="L17" i="1"/>
  <c r="L16" i="1"/>
  <c r="L15" i="1"/>
  <c r="L14" i="1"/>
  <c r="L13" i="1"/>
  <c r="L3" i="1"/>
  <c r="N3" i="1"/>
  <c r="N4" i="1"/>
  <c r="N5" i="1"/>
  <c r="N6" i="1"/>
  <c r="N7" i="1"/>
  <c r="N2" i="1"/>
  <c r="O2" i="1" s="1"/>
  <c r="L12" i="1"/>
  <c r="O12" i="1" s="1"/>
  <c r="L11" i="1"/>
  <c r="O11" i="1" s="1"/>
  <c r="L10" i="1"/>
  <c r="L9" i="1"/>
  <c r="L8" i="1"/>
  <c r="L7" i="1"/>
  <c r="L6" i="1"/>
  <c r="L5" i="1"/>
  <c r="L4" i="1"/>
  <c r="O15" i="1" l="1"/>
  <c r="O14" i="1"/>
  <c r="O4" i="1"/>
  <c r="O3" i="1"/>
  <c r="O5" i="1"/>
  <c r="O9" i="1"/>
  <c r="O8" i="1"/>
  <c r="O6" i="1"/>
  <c r="O13" i="1"/>
  <c r="O19" i="1"/>
  <c r="O18" i="1"/>
  <c r="O17" i="1"/>
  <c r="O20" i="1"/>
  <c r="O16" i="1"/>
  <c r="O7" i="1"/>
  <c r="O10" i="1"/>
</calcChain>
</file>

<file path=xl/sharedStrings.xml><?xml version="1.0" encoding="utf-8"?>
<sst xmlns="http://schemas.openxmlformats.org/spreadsheetml/2006/main" count="426" uniqueCount="146">
  <si>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</si>
  <si>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</si>
  <si>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</si>
  <si>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</si>
  <si>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</si>
  <si>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</si>
  <si>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</si>
  <si>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</si>
  <si>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</si>
  <si>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</si>
  <si>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</si>
  <si>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RawIntDen_normBackg_normLen</t>
  </si>
  <si>
    <t>PLATE</t>
  </si>
  <si>
    <t>plate1</t>
  </si>
  <si>
    <t>plate2</t>
  </si>
  <si>
    <t>number</t>
  </si>
  <si>
    <t>seedling2</t>
  </si>
  <si>
    <t>seedling3</t>
  </si>
  <si>
    <t>seedling4</t>
  </si>
  <si>
    <t>seedling5</t>
  </si>
  <si>
    <t>seedling6</t>
  </si>
  <si>
    <t>seedling7</t>
  </si>
  <si>
    <t>seedling8</t>
  </si>
  <si>
    <t>background</t>
  </si>
  <si>
    <t>seedling9</t>
  </si>
  <si>
    <t>seedling10</t>
  </si>
  <si>
    <t>seedling11</t>
  </si>
  <si>
    <t>seedling12</t>
  </si>
  <si>
    <t>seedling13</t>
  </si>
  <si>
    <t>seedling14</t>
  </si>
  <si>
    <t>seedling16</t>
  </si>
  <si>
    <t>seedling17</t>
  </si>
  <si>
    <t>seedling18</t>
  </si>
  <si>
    <t>seedling20</t>
  </si>
  <si>
    <t>pNRT2.1:LUC</t>
  </si>
  <si>
    <t>seedling15</t>
  </si>
  <si>
    <t>seedling1</t>
  </si>
  <si>
    <t>RawIntDen_norm_bckg</t>
  </si>
  <si>
    <t>seedling19</t>
  </si>
  <si>
    <t>plate3</t>
  </si>
  <si>
    <t>plate4</t>
  </si>
  <si>
    <t>1mM</t>
  </si>
  <si>
    <t>10mM</t>
  </si>
  <si>
    <t>seedling21</t>
  </si>
  <si>
    <t>seedling22</t>
  </si>
  <si>
    <t>seedling23</t>
  </si>
  <si>
    <t>seedling24</t>
  </si>
  <si>
    <t>seedling25</t>
  </si>
  <si>
    <t>seedling26</t>
  </si>
  <si>
    <t>seedling27</t>
  </si>
  <si>
    <t>seedling28</t>
  </si>
  <si>
    <t>seedling29</t>
  </si>
  <si>
    <t>seedling30</t>
  </si>
  <si>
    <t>seedling31</t>
  </si>
  <si>
    <t>seedling32</t>
  </si>
  <si>
    <t>plate5</t>
  </si>
  <si>
    <t>plate6</t>
  </si>
  <si>
    <t>plate7</t>
  </si>
  <si>
    <t>plate8</t>
  </si>
  <si>
    <t>20241024_pNRT21_LUC_1mM_N1_luc.tif:0207-0071</t>
  </si>
  <si>
    <t>20241024_pNRT21_LUC_1mM_N1_luc.tif:0200-0123</t>
  </si>
  <si>
    <t>20241024_pNRT21_LUC_1mM_N1_luc.tif:0183-0173</t>
  </si>
  <si>
    <t>20241024_pNRT21_LUC_1mM_N1_luc.tif:0174-0218</t>
  </si>
  <si>
    <t>20241024_pNRT21_LUC_1mM_N1_luc.tif:0176-0263</t>
  </si>
  <si>
    <t>20241024_pNRT21_LUC_1mM_N1_luc.tif:0162-0318</t>
  </si>
  <si>
    <t>20241024_pNRT21_LUC_1mM_N1_luc.tif:0196-0369</t>
  </si>
  <si>
    <t>20241024_pNRT21_LUC_1mM_N1_luc.tif:0183-0425</t>
  </si>
  <si>
    <t>20241024_pNRT21_LUC_1mM_N1_luc.tif:0410-0321</t>
  </si>
  <si>
    <t>20241024_pNRT21_LUC_1mM_N1_luc.tif:0417-0225</t>
  </si>
  <si>
    <t>20241024_pNRT21_LUC_1mM_N1_luc.tif:0417-0151</t>
  </si>
  <si>
    <t>20241024_pNRT21_LUC_1mM_N2_luc.tif:0165-0076</t>
  </si>
  <si>
    <t>20241024_pNRT21_LUC_1mM_N2_luc.tif:0159-0128</t>
  </si>
  <si>
    <t>20241024_pNRT21_LUC_1mM_N2_luc.tif:0164-0180</t>
  </si>
  <si>
    <t>20241024_pNRT21_LUC_1mM_N2_luc.tif:0164-0236</t>
  </si>
  <si>
    <t>20241024_pNRT21_LUC_1mM_N2_luc.tif:0157-0281</t>
  </si>
  <si>
    <t>20241024_pNRT21_LUC_1mM_N2_luc.tif:0165-0341</t>
  </si>
  <si>
    <t>20241024_pNRT21_LUC_1mM_N2_luc.tif:0166-0393</t>
  </si>
  <si>
    <t>20241024_pNRT21_LUC_1mM_N2_luc.tif:0150-0433</t>
  </si>
  <si>
    <t>20241024_pNRT21_LUC_1mM_N2_luc.tif:0394-0351</t>
  </si>
  <si>
    <t>20241024_pNRT21_LUC_1mM_N2_luc.tif:0406-0289</t>
  </si>
  <si>
    <t>20241024_pNRT21_LUC_1mM_N2_luc.tif:0404-0225</t>
  </si>
  <si>
    <t>20241024_pNRT21_LUC_1mM_N3_luc.tif:0160-0085</t>
  </si>
  <si>
    <t>20241024_pNRT21_LUC_1mM_N3_luc.tif:0164-0113</t>
  </si>
  <si>
    <t>20241024_pNRT21_LUC_1mM_N3_luc.tif:0197-0164</t>
  </si>
  <si>
    <t>20241024_pNRT21_LUC_1mM_N3_luc.tif:0171-0222</t>
  </si>
  <si>
    <t>20241024_pNRT21_LUC_1mM_N3_luc.tif:0176-0284</t>
  </si>
  <si>
    <t>20241024_pNRT21_LUC_1mM_N3_luc.tif:0169-0321</t>
  </si>
  <si>
    <t>20241024_pNRT21_LUC_1mM_N3_luc.tif:0189-0388</t>
  </si>
  <si>
    <t>20241024_pNRT21_LUC_1mM_N3_luc.tif:0177-0419</t>
  </si>
  <si>
    <t>20241024_pNRT21_LUC_1mM_N3_luc.tif:0392-0358</t>
  </si>
  <si>
    <t>20241024_pNRT21_LUC_1mM_N3_luc.tif:0408-0276</t>
  </si>
  <si>
    <t>20241024_pNRT21_LUC_1mM_N3_luc.tif:0435-0167</t>
  </si>
  <si>
    <t>20241024_pNRT21_LUC_1mM_N4_luc.tif:0195-0088</t>
  </si>
  <si>
    <t>20241024_pNRT21_LUC_1mM_N4_luc.tif:0186-0140</t>
  </si>
  <si>
    <t>20241024_pNRT21_LUC_1mM_N4_luc.tif:0181-0187</t>
  </si>
  <si>
    <t>20241024_pNRT21_LUC_1mM_N4_luc.tif:0179-0232</t>
  </si>
  <si>
    <t>20241024_pNRT21_LUC_1mM_N4_luc.tif:0180-0288</t>
  </si>
  <si>
    <t>20241024_pNRT21_LUC_1mM_N4_luc.tif:0199-0340</t>
  </si>
  <si>
    <t>20241024_pNRT21_LUC_1mM_N4_luc.tif:0182-0395</t>
  </si>
  <si>
    <t>20241024_pNRT21_LUC_1mM_N4_luc.tif:0175-0434</t>
  </si>
  <si>
    <t>20241024_pNRT21_LUC_1mM_N4_luc.tif:0414-0402</t>
  </si>
  <si>
    <t>20241024_pNRT21_LUC_1mM_N4_luc.tif:0417-0305</t>
  </si>
  <si>
    <t>20241024_pNRT21_LUC_1mM_N4_luc.tif:0413-0232</t>
  </si>
  <si>
    <t>20241024_pNRT21_LUC_10mM_N5_luc.tif:0197-0084</t>
  </si>
  <si>
    <t>20241024_pNRT21_LUC_10mM_N5_luc.tif:0168-0122</t>
  </si>
  <si>
    <t>20241024_pNRT21_LUC_10mM_N5_luc.tif:0159-0174</t>
  </si>
  <si>
    <t>20241024_pNRT21_LUC_10mM_N5_luc.tif:0153-0215</t>
  </si>
  <si>
    <t>20241024_pNRT21_LUC_10mM_N5_luc.tif:0173-0267</t>
  </si>
  <si>
    <t>20241024_pNRT21_LUC_10mM_N5_luc.tif:0161-0305</t>
  </si>
  <si>
    <t>20241024_pNRT21_LUC_10mM_N5_luc.tif:0184-0388</t>
  </si>
  <si>
    <t>20241024_pNRT21_LUC_10mM_N5_luc.tif:0179-0427</t>
  </si>
  <si>
    <t>20241024_pNRT21_LUC_10mM_N5_luc.tif:0398-0366</t>
  </si>
  <si>
    <t>20241024_pNRT21_LUC_10mM_N5_luc.tif:0389-0274</t>
  </si>
  <si>
    <t>20241024_pNRT21_LUC_10mM_N5_luc.tif:0423-0209</t>
  </si>
  <si>
    <t>20241024_pNRT21_LUC_10mM_N6_luc.tif:0185-0088</t>
  </si>
  <si>
    <t>20241024_pNRT21_LUC_10mM_N6_luc.tif:0174-0119</t>
  </si>
  <si>
    <t>20241024_pNRT21_LUC_10mM_N6_luc.tif:0176-0226</t>
  </si>
  <si>
    <t>20241024_pNRT21_LUC_10mM_N6_luc.tif:0164-0286</t>
  </si>
  <si>
    <t>20241024_pNRT21_LUC_10mM_N6_luc.tif:0174-0338</t>
  </si>
  <si>
    <t>20241024_pNRT21_LUC_10mM_N6_luc.tif:0164-0379</t>
  </si>
  <si>
    <t>20241024_pNRT21_LUC_10mM_N6_luc.tif:0183-0431</t>
  </si>
  <si>
    <t>20241024_pNRT21_LUC_10mM_N6_luc.tif:0374-0395</t>
  </si>
  <si>
    <t>20241024_pNRT21_LUC_10mM_N6_luc.tif:0408-0325</t>
  </si>
  <si>
    <t>20241024_pNRT21_LUC_10mM_N6_luc.tif:0377-0207</t>
  </si>
  <si>
    <t>20241024_pNRT21_LUC_10mM_N8_luc.tif:0173-0080</t>
  </si>
  <si>
    <t>20241024_pNRT21_LUC_10mM_N8_luc.tif:0180-0122</t>
  </si>
  <si>
    <t>20241024_pNRT21_LUC_10mM_N8_luc.tif:0183-0183</t>
  </si>
  <si>
    <t>20241024_pNRT21_LUC_10mM_N8_luc.tif:0181-0238</t>
  </si>
  <si>
    <t>20241024_pNRT21_LUC_10mM_N8_luc.tif:0169-0291</t>
  </si>
  <si>
    <t>20241024_pNRT21_LUC_10mM_N8_luc.tif:0171-0338</t>
  </si>
  <si>
    <t>20241024_pNRT21_LUC_10mM_N8_luc.tif:0179-0372</t>
  </si>
  <si>
    <t>20241024_pNRT21_LUC_10mM_N8_luc.tif:0174-0429</t>
  </si>
  <si>
    <t>20241024_pNRT21_LUC_10mM_N8_luc.tif:0381-0413</t>
  </si>
  <si>
    <t>20241024_pNRT21_LUC_10mM_N8_luc.tif:0381-0286</t>
  </si>
  <si>
    <t>20241024_pNRT21_LUC_10mM_N8_luc.tif:0413-0220</t>
  </si>
  <si>
    <t>20241024_pNRT21_LUC_10mM_N7_luc.tif:0186-0070</t>
  </si>
  <si>
    <t>20241024_pNRT21_LUC_10mM_N7_luc.tif:0173-0127</t>
  </si>
  <si>
    <t>20241024_pNRT21_LUC_10mM_N7_luc.tif:0177-0182</t>
  </si>
  <si>
    <t>20241024_pNRT21_LUC_10mM_N7_luc.tif:0208-0242</t>
  </si>
  <si>
    <t>20241024_pNRT21_LUC_10mM_N7_luc.tif:0173-0284</t>
  </si>
  <si>
    <t>20241024_pNRT21_LUC_10mM_N7_luc.tif:0181-0332</t>
  </si>
  <si>
    <t>20241024_pNRT21_LUC_10mM_N7_luc.tif:0146-0376</t>
  </si>
  <si>
    <t>20241024_pNRT21_LUC_10mM_N7_luc.tif:0161-0425</t>
  </si>
  <si>
    <t>20241024_pNRT21_LUC_10mM_N7_luc.tif:0381-0380</t>
  </si>
  <si>
    <t>20241024_pNRT21_LUC_10mM_N7_luc.tif:0400-0324</t>
  </si>
  <si>
    <t>20241024_pNRT21_LUC_10mM_N7_luc.tif:0389-0215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</si>
</sst>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2" fontId="0" fillId="0" borderId="0" xfId="0" applyNumberFormat="1" applyFill="1"/>
    <xf numFmtId="0" fontId="0" fillId="0" borderId="1" xfId="0" applyFill="1" applyBorder="1"/>
    <xf numFmtId="0" fontId="0" fillId="0" borderId="2" xfId="0" applyFill="1" applyBorder="1"/>
    <xf numFmtId="11" fontId="0" fillId="0" borderId="2" xfId="0" applyNumberFormat="1" applyFill="1" applyBorder="1"/>
    <xf numFmtId="0" fontId="0" fillId="0" borderId="0" xfId="0" applyFill="1" applyBorder="1"/>
    <xf numFmtId="0" fontId="0" fillId="0" borderId="3" xfId="0" applyFill="1" applyBorder="1"/>
    <xf numFmtId="11" fontId="0" fillId="0" borderId="0" xfId="0" applyNumberFormat="1" applyFill="1" applyBorder="1"/>
    <xf numFmtId="0" fontId="0" fillId="0" borderId="4" xfId="0" applyFill="1" applyBorder="1"/>
    <xf numFmtId="0" fontId="0" fillId="0" borderId="5" xfId="0" applyFill="1" applyBorder="1"/>
    <xf numFmtId="11" fontId="0" fillId="0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zoomScale="85" zoomScaleNormal="85" workbookViewId="0">
      <selection activeCell="T14" sqref="T14"/>
    </sheetView>
  </sheetViews>
  <sheetFormatPr baseColWidth="10" defaultColWidth="9.1640625" defaultRowHeight="15" x14ac:dyDescent="0.2"/>
  <cols>
    <col min="1" max="1" width="9.1640625" style="1"/>
    <col min="2" max="2" width="48.1640625" style="1" customWidth="1"/>
    <col min="3" max="6" width="9.1640625" style="1"/>
    <col min="7" max="7" width="13.5" style="1" customWidth="1"/>
    <col min="8" max="8" width="11.83203125" style="1" customWidth="1"/>
    <col min="9" max="9" width="13.6640625" style="1" customWidth="1"/>
    <col min="10" max="10" width="13" style="1" customWidth="1"/>
    <col min="11" max="11" width="14.33203125" style="1" customWidth="1"/>
    <col min="12" max="12" width="11.6640625" style="1" customWidth="1"/>
    <col min="13" max="13" width="10.5" style="1" customWidth="1"/>
    <col min="14" max="14" width="23.5" style="1" customWidth="1"/>
    <col min="15" max="15" width="34.83203125" style="1" customWidth="1"/>
    <col min="16" max="16384" width="9.1640625" style="1"/>
  </cols>
  <sheetData>
    <row r="1" spans="1:15" x14ac:dyDescent="0.2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37</v>
      </c>
      <c r="O1" s="2" t="s">
        <v>11</v>
      </c>
    </row>
    <row r="2" spans="1:15" x14ac:dyDescent="0.2">
      <c r="A2" s="3">
        <v>1</v>
      </c>
      <c r="B2" s="4" t="s">
        <v>59</v>
      </c>
      <c r="C2" s="5">
        <v>1535</v>
      </c>
      <c r="D2" s="4">
        <v>500.98200000000003</v>
      </c>
      <c r="E2" s="5">
        <v>769007</v>
      </c>
      <c r="F2" s="4">
        <v>277</v>
      </c>
      <c r="G2" s="4">
        <v>769007</v>
      </c>
      <c r="H2" s="5">
        <v>190.87700000000001</v>
      </c>
      <c r="I2" s="4" t="s">
        <v>36</v>
      </c>
      <c r="J2" s="4" t="s">
        <v>34</v>
      </c>
      <c r="K2" s="6" t="s">
        <v>41</v>
      </c>
      <c r="L2" s="4">
        <f>H2/4</f>
        <v>47.719250000000002</v>
      </c>
      <c r="M2" s="6" t="s">
        <v>13</v>
      </c>
      <c r="N2" s="4">
        <f t="shared" ref="N2:N9" si="0">G2-(((G$10/C$10*C2)+(G$11/C$11*C2)+(G$12/C$12*C2))/3)</f>
        <v>492201.90666862734</v>
      </c>
      <c r="O2" s="4">
        <f>N2/L2</f>
        <v>10314.535678340028</v>
      </c>
    </row>
    <row r="3" spans="1:15" x14ac:dyDescent="0.2">
      <c r="A3" s="7">
        <v>2</v>
      </c>
      <c r="B3" s="6" t="s">
        <v>60</v>
      </c>
      <c r="C3" s="8">
        <v>1488</v>
      </c>
      <c r="D3" s="6">
        <v>852.64200000000005</v>
      </c>
      <c r="E3" s="8">
        <v>1268731</v>
      </c>
      <c r="F3" s="6">
        <v>454</v>
      </c>
      <c r="G3" s="6">
        <v>1268731</v>
      </c>
      <c r="H3" s="8">
        <v>184.97300000000001</v>
      </c>
      <c r="I3" s="6" t="s">
        <v>16</v>
      </c>
      <c r="J3" s="6" t="s">
        <v>34</v>
      </c>
      <c r="K3" s="6" t="s">
        <v>41</v>
      </c>
      <c r="L3" s="6">
        <f>H3/4</f>
        <v>46.243250000000003</v>
      </c>
      <c r="M3" s="6" t="s">
        <v>13</v>
      </c>
      <c r="N3" s="6">
        <f t="shared" si="0"/>
        <v>1000401.3720670473</v>
      </c>
      <c r="O3" s="6">
        <f t="shared" ref="O3:O12" si="1">N3/L3</f>
        <v>21633.457251967524</v>
      </c>
    </row>
    <row r="4" spans="1:15" x14ac:dyDescent="0.2">
      <c r="A4" s="7">
        <v>3</v>
      </c>
      <c r="B4" s="6" t="s">
        <v>61</v>
      </c>
      <c r="C4" s="8">
        <v>1261</v>
      </c>
      <c r="D4" s="6">
        <v>367.93</v>
      </c>
      <c r="E4" s="8">
        <v>463960</v>
      </c>
      <c r="F4" s="6">
        <v>261</v>
      </c>
      <c r="G4" s="6">
        <v>463960</v>
      </c>
      <c r="H4" s="8">
        <v>157.16200000000001</v>
      </c>
      <c r="I4" s="6" t="s">
        <v>17</v>
      </c>
      <c r="J4" s="6" t="s">
        <v>34</v>
      </c>
      <c r="K4" s="6" t="s">
        <v>41</v>
      </c>
      <c r="L4" s="6">
        <f t="shared" ref="L4:L12" si="2">H4/4</f>
        <v>39.290500000000002</v>
      </c>
      <c r="M4" s="6" t="s">
        <v>13</v>
      </c>
      <c r="N4" s="6">
        <f t="shared" si="0"/>
        <v>236565.06665090495</v>
      </c>
      <c r="O4" s="6">
        <f t="shared" si="1"/>
        <v>6020.9227841566008</v>
      </c>
    </row>
    <row r="5" spans="1:15" x14ac:dyDescent="0.2">
      <c r="A5" s="7">
        <v>4</v>
      </c>
      <c r="B5" s="6" t="s">
        <v>62</v>
      </c>
      <c r="C5" s="8">
        <v>1153</v>
      </c>
      <c r="D5" s="6">
        <v>395.80599999999998</v>
      </c>
      <c r="E5" s="8">
        <v>456364</v>
      </c>
      <c r="F5" s="6">
        <v>257</v>
      </c>
      <c r="G5" s="6">
        <v>456364</v>
      </c>
      <c r="H5" s="8">
        <v>143.12</v>
      </c>
      <c r="I5" s="6" t="s">
        <v>18</v>
      </c>
      <c r="J5" s="6" t="s">
        <v>34</v>
      </c>
      <c r="K5" s="6" t="s">
        <v>41</v>
      </c>
      <c r="L5" s="6">
        <f t="shared" si="2"/>
        <v>35.78</v>
      </c>
      <c r="M5" s="6" t="s">
        <v>13</v>
      </c>
      <c r="N5" s="6">
        <f t="shared" si="0"/>
        <v>248444.60416216764</v>
      </c>
      <c r="O5" s="6">
        <f t="shared" si="1"/>
        <v>6943.6725590320748</v>
      </c>
    </row>
    <row r="6" spans="1:15" x14ac:dyDescent="0.2">
      <c r="A6" s="7">
        <v>5</v>
      </c>
      <c r="B6" s="6" t="s">
        <v>63</v>
      </c>
      <c r="C6" s="8">
        <v>1302</v>
      </c>
      <c r="D6" s="6">
        <v>515.39599999999996</v>
      </c>
      <c r="E6" s="8">
        <v>671046</v>
      </c>
      <c r="F6" s="6">
        <v>324</v>
      </c>
      <c r="G6" s="6">
        <v>671046</v>
      </c>
      <c r="H6" s="8">
        <v>162.00299999999999</v>
      </c>
      <c r="I6" s="6" t="s">
        <v>19</v>
      </c>
      <c r="J6" s="6" t="s">
        <v>34</v>
      </c>
      <c r="K6" s="6" t="s">
        <v>41</v>
      </c>
      <c r="L6" s="6">
        <f t="shared" si="2"/>
        <v>40.500749999999996</v>
      </c>
      <c r="M6" s="6" t="s">
        <v>13</v>
      </c>
      <c r="N6" s="6">
        <f t="shared" si="0"/>
        <v>436257.57555866637</v>
      </c>
      <c r="O6" s="6">
        <f t="shared" si="1"/>
        <v>10771.592515167409</v>
      </c>
    </row>
    <row r="7" spans="1:15" x14ac:dyDescent="0.2">
      <c r="A7" s="7">
        <v>6</v>
      </c>
      <c r="B7" s="6" t="s">
        <v>64</v>
      </c>
      <c r="C7" s="8">
        <v>1021</v>
      </c>
      <c r="D7" s="6">
        <v>309.52199999999999</v>
      </c>
      <c r="E7" s="8">
        <v>316022</v>
      </c>
      <c r="F7" s="6">
        <v>241</v>
      </c>
      <c r="G7" s="6">
        <v>316022</v>
      </c>
      <c r="H7" s="8">
        <v>126.465</v>
      </c>
      <c r="I7" s="6" t="s">
        <v>20</v>
      </c>
      <c r="J7" s="6" t="s">
        <v>34</v>
      </c>
      <c r="K7" s="6" t="s">
        <v>41</v>
      </c>
      <c r="L7" s="6">
        <f t="shared" si="2"/>
        <v>31.616250000000001</v>
      </c>
      <c r="M7" s="6" t="s">
        <v>13</v>
      </c>
      <c r="N7" s="6">
        <f t="shared" si="0"/>
        <v>131906.03889815541</v>
      </c>
      <c r="O7" s="6">
        <f t="shared" si="1"/>
        <v>4172.0962763817788</v>
      </c>
    </row>
    <row r="8" spans="1:15" x14ac:dyDescent="0.2">
      <c r="A8" s="7">
        <v>7</v>
      </c>
      <c r="B8" s="6" t="s">
        <v>65</v>
      </c>
      <c r="C8" s="8">
        <v>1571</v>
      </c>
      <c r="D8" s="6">
        <v>860.45299999999997</v>
      </c>
      <c r="E8" s="8">
        <v>1351772</v>
      </c>
      <c r="F8" s="6">
        <v>378</v>
      </c>
      <c r="G8" s="6">
        <v>1351772</v>
      </c>
      <c r="H8" s="8">
        <v>195.40899999999999</v>
      </c>
      <c r="I8" s="6" t="s">
        <v>21</v>
      </c>
      <c r="J8" s="6" t="s">
        <v>34</v>
      </c>
      <c r="K8" s="6" t="s">
        <v>41</v>
      </c>
      <c r="L8" s="6">
        <f t="shared" si="2"/>
        <v>48.852249999999998</v>
      </c>
      <c r="M8" s="6" t="s">
        <v>13</v>
      </c>
      <c r="N8" s="6">
        <f t="shared" si="0"/>
        <v>1068475.0608315398</v>
      </c>
      <c r="O8" s="6">
        <f t="shared" si="1"/>
        <v>21871.562944010559</v>
      </c>
    </row>
    <row r="9" spans="1:15" x14ac:dyDescent="0.2">
      <c r="A9" s="7">
        <v>8</v>
      </c>
      <c r="B9" s="6" t="s">
        <v>66</v>
      </c>
      <c r="C9" s="8">
        <v>1328</v>
      </c>
      <c r="D9" s="6">
        <v>853.61</v>
      </c>
      <c r="E9" s="8">
        <v>1133594</v>
      </c>
      <c r="F9" s="6">
        <v>447</v>
      </c>
      <c r="G9" s="6">
        <v>1133594</v>
      </c>
      <c r="H9" s="8">
        <v>165.584</v>
      </c>
      <c r="I9" s="6" t="s">
        <v>22</v>
      </c>
      <c r="J9" s="6" t="s">
        <v>34</v>
      </c>
      <c r="K9" s="6" t="s">
        <v>41</v>
      </c>
      <c r="L9" s="6">
        <f t="shared" si="2"/>
        <v>41.396000000000001</v>
      </c>
      <c r="M9" s="6" t="s">
        <v>13</v>
      </c>
      <c r="N9" s="6">
        <f t="shared" si="0"/>
        <v>894117.02023188083</v>
      </c>
      <c r="O9" s="6">
        <f t="shared" si="1"/>
        <v>21599.116345344497</v>
      </c>
    </row>
    <row r="10" spans="1:15" x14ac:dyDescent="0.2">
      <c r="A10" s="7">
        <v>9</v>
      </c>
      <c r="B10" s="6" t="s">
        <v>67</v>
      </c>
      <c r="C10" s="8">
        <v>1118</v>
      </c>
      <c r="D10" s="6">
        <v>179.739</v>
      </c>
      <c r="E10" s="8">
        <v>200948</v>
      </c>
      <c r="F10" s="6">
        <v>170</v>
      </c>
      <c r="G10" s="6">
        <v>200948</v>
      </c>
      <c r="H10" s="8">
        <v>139.041</v>
      </c>
      <c r="I10" s="6" t="s">
        <v>23</v>
      </c>
      <c r="J10" s="6"/>
      <c r="K10" s="6" t="s">
        <v>41</v>
      </c>
      <c r="L10" s="6">
        <f t="shared" si="2"/>
        <v>34.760249999999999</v>
      </c>
      <c r="M10" s="6" t="s">
        <v>13</v>
      </c>
      <c r="N10" s="6"/>
      <c r="O10" s="6">
        <f t="shared" si="1"/>
        <v>0</v>
      </c>
    </row>
    <row r="11" spans="1:15" x14ac:dyDescent="0.2">
      <c r="A11" s="7">
        <v>10</v>
      </c>
      <c r="B11" s="6" t="s">
        <v>68</v>
      </c>
      <c r="C11" s="8">
        <v>1077</v>
      </c>
      <c r="D11" s="6">
        <v>179.792</v>
      </c>
      <c r="E11" s="8">
        <v>193636</v>
      </c>
      <c r="F11" s="6">
        <v>170</v>
      </c>
      <c r="G11" s="6">
        <v>193636</v>
      </c>
      <c r="H11" s="8">
        <v>133.36099999999999</v>
      </c>
      <c r="I11" s="6" t="s">
        <v>23</v>
      </c>
      <c r="J11" s="6"/>
      <c r="K11" s="6" t="s">
        <v>41</v>
      </c>
      <c r="L11" s="6">
        <f t="shared" si="2"/>
        <v>33.340249999999997</v>
      </c>
      <c r="M11" s="6" t="s">
        <v>13</v>
      </c>
      <c r="N11" s="6"/>
      <c r="O11" s="6">
        <f t="shared" si="1"/>
        <v>0</v>
      </c>
    </row>
    <row r="12" spans="1:15" x14ac:dyDescent="0.2">
      <c r="A12" s="9">
        <v>11</v>
      </c>
      <c r="B12" s="10" t="s">
        <v>69</v>
      </c>
      <c r="C12" s="11">
        <v>1179</v>
      </c>
      <c r="D12" s="10">
        <v>181.45599999999999</v>
      </c>
      <c r="E12" s="11">
        <v>213937</v>
      </c>
      <c r="F12" s="10">
        <v>171</v>
      </c>
      <c r="G12" s="10">
        <v>213937</v>
      </c>
      <c r="H12" s="11">
        <v>145.94999999999999</v>
      </c>
      <c r="I12" s="10" t="s">
        <v>23</v>
      </c>
      <c r="J12" s="10"/>
      <c r="K12" s="6" t="s">
        <v>41</v>
      </c>
      <c r="L12" s="10">
        <f t="shared" si="2"/>
        <v>36.487499999999997</v>
      </c>
      <c r="M12" s="6" t="s">
        <v>13</v>
      </c>
      <c r="N12" s="10"/>
      <c r="O12" s="10">
        <f t="shared" si="1"/>
        <v>0</v>
      </c>
    </row>
    <row r="13" spans="1:15" x14ac:dyDescent="0.2">
      <c r="A13" s="3">
        <v>1</v>
      </c>
      <c r="B13" s="4" t="s">
        <v>70</v>
      </c>
      <c r="C13" s="5">
        <v>1262</v>
      </c>
      <c r="D13" s="4">
        <v>240.65600000000001</v>
      </c>
      <c r="E13" s="5">
        <v>303708</v>
      </c>
      <c r="F13" s="4">
        <v>194</v>
      </c>
      <c r="G13" s="4">
        <v>303708</v>
      </c>
      <c r="H13" s="5">
        <v>156.77099999999999</v>
      </c>
      <c r="I13" s="4" t="s">
        <v>24</v>
      </c>
      <c r="J13" s="4" t="s">
        <v>34</v>
      </c>
      <c r="K13" s="6" t="s">
        <v>41</v>
      </c>
      <c r="L13" s="4">
        <f>H13/4</f>
        <v>39.192749999999997</v>
      </c>
      <c r="M13" s="4" t="s">
        <v>14</v>
      </c>
      <c r="N13" s="4">
        <f t="shared" ref="N13:N20" si="3">G13-(((G$21/C$21*C13)+(G$22/C$22*C13)+(G$23/C$23*C13))/3)</f>
        <v>81759.75287939221</v>
      </c>
      <c r="O13" s="4">
        <f>N13/L13</f>
        <v>2086.0938025372607</v>
      </c>
    </row>
    <row r="14" spans="1:15" x14ac:dyDescent="0.2">
      <c r="A14" s="7">
        <v>2</v>
      </c>
      <c r="B14" s="6" t="s">
        <v>71</v>
      </c>
      <c r="C14" s="8">
        <v>1252</v>
      </c>
      <c r="D14" s="6">
        <v>339.27100000000002</v>
      </c>
      <c r="E14" s="8">
        <v>424767</v>
      </c>
      <c r="F14" s="6">
        <v>226</v>
      </c>
      <c r="G14" s="6">
        <v>424767</v>
      </c>
      <c r="H14" s="8">
        <v>155.96199999999999</v>
      </c>
      <c r="I14" s="4" t="s">
        <v>25</v>
      </c>
      <c r="J14" s="6" t="s">
        <v>34</v>
      </c>
      <c r="K14" s="6" t="s">
        <v>41</v>
      </c>
      <c r="L14" s="6">
        <f>H14/4</f>
        <v>38.990499999999997</v>
      </c>
      <c r="M14" s="6" t="s">
        <v>14</v>
      </c>
      <c r="N14" s="6">
        <f t="shared" si="3"/>
        <v>204577.45531299445</v>
      </c>
      <c r="O14" s="6">
        <f t="shared" ref="O14:O23" si="4">N14/L14</f>
        <v>5246.8538570419578</v>
      </c>
    </row>
    <row r="15" spans="1:15" x14ac:dyDescent="0.2">
      <c r="A15" s="7">
        <v>3</v>
      </c>
      <c r="B15" s="6" t="s">
        <v>72</v>
      </c>
      <c r="C15" s="8">
        <v>1367</v>
      </c>
      <c r="D15" s="6">
        <v>675.21100000000001</v>
      </c>
      <c r="E15" s="8">
        <v>923014</v>
      </c>
      <c r="F15" s="6">
        <v>364</v>
      </c>
      <c r="G15" s="6">
        <v>923014</v>
      </c>
      <c r="H15" s="8">
        <v>169.55500000000001</v>
      </c>
      <c r="I15" s="4" t="s">
        <v>26</v>
      </c>
      <c r="J15" s="6" t="s">
        <v>34</v>
      </c>
      <c r="K15" s="6" t="s">
        <v>41</v>
      </c>
      <c r="L15" s="6">
        <f t="shared" ref="L15:L23" si="5">H15/4</f>
        <v>42.388750000000002</v>
      </c>
      <c r="M15" s="4" t="s">
        <v>14</v>
      </c>
      <c r="N15" s="6">
        <f t="shared" si="3"/>
        <v>682599.37732656824</v>
      </c>
      <c r="O15" s="6">
        <f t="shared" si="4"/>
        <v>16103.314613584222</v>
      </c>
    </row>
    <row r="16" spans="1:15" x14ac:dyDescent="0.2">
      <c r="A16" s="7">
        <v>4</v>
      </c>
      <c r="B16" s="6" t="s">
        <v>73</v>
      </c>
      <c r="C16" s="8">
        <v>1352</v>
      </c>
      <c r="D16" s="6">
        <v>434.12599999999998</v>
      </c>
      <c r="E16" s="8">
        <v>586938</v>
      </c>
      <c r="F16" s="6">
        <v>263</v>
      </c>
      <c r="G16" s="6">
        <v>586938</v>
      </c>
      <c r="H16" s="8">
        <v>168.20500000000001</v>
      </c>
      <c r="I16" s="4" t="s">
        <v>27</v>
      </c>
      <c r="J16" s="6" t="s">
        <v>34</v>
      </c>
      <c r="K16" s="6" t="s">
        <v>41</v>
      </c>
      <c r="L16" s="6">
        <f t="shared" si="5"/>
        <v>42.051250000000003</v>
      </c>
      <c r="M16" s="6" t="s">
        <v>14</v>
      </c>
      <c r="N16" s="6">
        <f t="shared" si="3"/>
        <v>349161.43097697163</v>
      </c>
      <c r="O16" s="6">
        <f t="shared" si="4"/>
        <v>8303.2354799672212</v>
      </c>
    </row>
    <row r="17" spans="1:15" x14ac:dyDescent="0.2">
      <c r="A17" s="7">
        <v>5</v>
      </c>
      <c r="B17" s="6" t="s">
        <v>74</v>
      </c>
      <c r="C17" s="8">
        <v>1212</v>
      </c>
      <c r="D17" s="6">
        <v>599.149</v>
      </c>
      <c r="E17" s="8">
        <v>726168</v>
      </c>
      <c r="F17" s="6">
        <v>325</v>
      </c>
      <c r="G17" s="6">
        <v>726168</v>
      </c>
      <c r="H17" s="8">
        <v>151.01499999999999</v>
      </c>
      <c r="I17" s="4" t="s">
        <v>28</v>
      </c>
      <c r="J17" s="6" t="s">
        <v>34</v>
      </c>
      <c r="K17" s="6" t="s">
        <v>41</v>
      </c>
      <c r="L17" s="6">
        <f t="shared" si="5"/>
        <v>37.753749999999997</v>
      </c>
      <c r="M17" s="4" t="s">
        <v>14</v>
      </c>
      <c r="N17" s="6">
        <f t="shared" si="3"/>
        <v>513013.26504740352</v>
      </c>
      <c r="O17" s="6">
        <f t="shared" si="4"/>
        <v>13588.405523885802</v>
      </c>
    </row>
    <row r="18" spans="1:15" x14ac:dyDescent="0.2">
      <c r="A18" s="7">
        <v>6</v>
      </c>
      <c r="B18" s="6" t="s">
        <v>75</v>
      </c>
      <c r="C18" s="8">
        <v>1259</v>
      </c>
      <c r="D18" s="6">
        <v>291.42099999999999</v>
      </c>
      <c r="E18" s="8">
        <v>366899</v>
      </c>
      <c r="F18" s="6">
        <v>203</v>
      </c>
      <c r="G18" s="6">
        <v>366899</v>
      </c>
      <c r="H18" s="8">
        <v>156.86099999999999</v>
      </c>
      <c r="I18" s="4" t="s">
        <v>29</v>
      </c>
      <c r="J18" s="6" t="s">
        <v>34</v>
      </c>
      <c r="K18" s="6" t="s">
        <v>41</v>
      </c>
      <c r="L18" s="6">
        <f t="shared" si="5"/>
        <v>39.215249999999997</v>
      </c>
      <c r="M18" s="6" t="s">
        <v>14</v>
      </c>
      <c r="N18" s="6">
        <f t="shared" si="3"/>
        <v>145478.36360947287</v>
      </c>
      <c r="O18" s="6">
        <f t="shared" si="4"/>
        <v>3709.7395428939731</v>
      </c>
    </row>
    <row r="19" spans="1:15" x14ac:dyDescent="0.2">
      <c r="A19" s="7">
        <v>7</v>
      </c>
      <c r="B19" s="6" t="s">
        <v>76</v>
      </c>
      <c r="C19" s="8">
        <v>1220</v>
      </c>
      <c r="D19" s="6">
        <v>714.67</v>
      </c>
      <c r="E19" s="8">
        <v>871897</v>
      </c>
      <c r="F19" s="6">
        <v>365</v>
      </c>
      <c r="G19" s="6">
        <v>871897</v>
      </c>
      <c r="H19" s="8">
        <v>151.28299999999999</v>
      </c>
      <c r="I19" s="4" t="s">
        <v>35</v>
      </c>
      <c r="J19" s="6" t="s">
        <v>34</v>
      </c>
      <c r="K19" s="6" t="s">
        <v>41</v>
      </c>
      <c r="L19" s="6">
        <f t="shared" si="5"/>
        <v>37.820749999999997</v>
      </c>
      <c r="M19" s="4" t="s">
        <v>14</v>
      </c>
      <c r="N19" s="6">
        <f t="shared" si="3"/>
        <v>657335.30310052179</v>
      </c>
      <c r="O19" s="6">
        <f t="shared" si="4"/>
        <v>17380.282070041496</v>
      </c>
    </row>
    <row r="20" spans="1:15" x14ac:dyDescent="0.2">
      <c r="A20" s="7">
        <v>8</v>
      </c>
      <c r="B20" s="6" t="s">
        <v>77</v>
      </c>
      <c r="C20" s="8">
        <v>990</v>
      </c>
      <c r="D20" s="6">
        <v>191.94</v>
      </c>
      <c r="E20" s="8">
        <v>190021</v>
      </c>
      <c r="F20" s="6">
        <v>177</v>
      </c>
      <c r="G20" s="6">
        <v>190021</v>
      </c>
      <c r="H20" s="8">
        <v>122.678</v>
      </c>
      <c r="I20" s="4" t="s">
        <v>30</v>
      </c>
      <c r="J20" s="6" t="s">
        <v>34</v>
      </c>
      <c r="K20" s="6" t="s">
        <v>41</v>
      </c>
      <c r="L20" s="6">
        <f t="shared" si="5"/>
        <v>30.669499999999999</v>
      </c>
      <c r="M20" s="6" t="s">
        <v>14</v>
      </c>
      <c r="N20" s="6">
        <f t="shared" si="3"/>
        <v>15909.459073374193</v>
      </c>
      <c r="O20" s="6">
        <f t="shared" si="4"/>
        <v>518.7387819616946</v>
      </c>
    </row>
    <row r="21" spans="1:15" x14ac:dyDescent="0.2">
      <c r="A21" s="7">
        <v>9</v>
      </c>
      <c r="B21" s="6" t="s">
        <v>78</v>
      </c>
      <c r="C21" s="8">
        <v>1089</v>
      </c>
      <c r="D21" s="6">
        <v>175.25899999999999</v>
      </c>
      <c r="E21" s="8">
        <v>190857</v>
      </c>
      <c r="F21" s="6">
        <v>165</v>
      </c>
      <c r="G21" s="6">
        <v>190857</v>
      </c>
      <c r="H21" s="8">
        <v>135.54</v>
      </c>
      <c r="I21" s="6" t="s">
        <v>23</v>
      </c>
      <c r="J21" s="6"/>
      <c r="K21" s="6" t="s">
        <v>41</v>
      </c>
      <c r="L21" s="6">
        <f t="shared" si="5"/>
        <v>33.884999999999998</v>
      </c>
      <c r="M21" s="4" t="s">
        <v>14</v>
      </c>
      <c r="N21" s="6"/>
      <c r="O21" s="6">
        <f t="shared" si="4"/>
        <v>0</v>
      </c>
    </row>
    <row r="22" spans="1:15" x14ac:dyDescent="0.2">
      <c r="A22" s="7">
        <v>10</v>
      </c>
      <c r="B22" s="6" t="s">
        <v>79</v>
      </c>
      <c r="C22" s="8">
        <v>898</v>
      </c>
      <c r="D22" s="6">
        <v>176.042</v>
      </c>
      <c r="E22" s="8">
        <v>158086</v>
      </c>
      <c r="F22" s="6">
        <v>170</v>
      </c>
      <c r="G22" s="6">
        <v>158086</v>
      </c>
      <c r="H22" s="8">
        <v>111.49299999999999</v>
      </c>
      <c r="I22" s="6" t="s">
        <v>23</v>
      </c>
      <c r="J22" s="6"/>
      <c r="K22" s="6" t="s">
        <v>41</v>
      </c>
      <c r="L22" s="6">
        <f t="shared" si="5"/>
        <v>27.873249999999999</v>
      </c>
      <c r="M22" s="6" t="s">
        <v>14</v>
      </c>
      <c r="N22" s="6"/>
      <c r="O22" s="6">
        <f t="shared" si="4"/>
        <v>0</v>
      </c>
    </row>
    <row r="23" spans="1:15" x14ac:dyDescent="0.2">
      <c r="A23" s="7">
        <v>11</v>
      </c>
      <c r="B23" s="6" t="s">
        <v>80</v>
      </c>
      <c r="C23" s="8">
        <v>1131</v>
      </c>
      <c r="D23" s="6">
        <v>176.309</v>
      </c>
      <c r="E23" s="8">
        <v>199406</v>
      </c>
      <c r="F23" s="6">
        <v>165</v>
      </c>
      <c r="G23" s="6">
        <v>199406</v>
      </c>
      <c r="H23" s="8">
        <v>140.715</v>
      </c>
      <c r="I23" s="6" t="s">
        <v>23</v>
      </c>
      <c r="J23" s="6"/>
      <c r="K23" s="6" t="s">
        <v>41</v>
      </c>
      <c r="L23" s="6">
        <f t="shared" si="5"/>
        <v>35.178750000000001</v>
      </c>
      <c r="M23" s="4" t="s">
        <v>14</v>
      </c>
      <c r="N23" s="6"/>
      <c r="O23" s="6">
        <f t="shared" si="4"/>
        <v>0</v>
      </c>
    </row>
    <row r="24" spans="1:15" x14ac:dyDescent="0.2">
      <c r="A24" s="3">
        <v>1</v>
      </c>
      <c r="B24" s="4" t="s">
        <v>81</v>
      </c>
      <c r="C24" s="5">
        <v>1035</v>
      </c>
      <c r="D24" s="4">
        <v>524.68899999999996</v>
      </c>
      <c r="E24" s="5">
        <v>543053</v>
      </c>
      <c r="F24" s="4">
        <v>311</v>
      </c>
      <c r="G24" s="4">
        <v>543053</v>
      </c>
      <c r="H24" s="5">
        <v>128.959</v>
      </c>
      <c r="I24" s="4" t="s">
        <v>31</v>
      </c>
      <c r="J24" s="4" t="s">
        <v>34</v>
      </c>
      <c r="K24" s="6" t="s">
        <v>41</v>
      </c>
      <c r="L24" s="4">
        <f>H24/4</f>
        <v>32.239750000000001</v>
      </c>
      <c r="M24" s="4" t="s">
        <v>39</v>
      </c>
      <c r="N24" s="4">
        <f t="shared" ref="N24:N31" si="6">G24-(((G$32/C$32*C24)+(G$33/C$33*C24)+(G$34/C$34*C24))/3)</f>
        <v>349901.20726628939</v>
      </c>
      <c r="O24" s="4">
        <f>N24/L24</f>
        <v>10853.099272366857</v>
      </c>
    </row>
    <row r="25" spans="1:15" x14ac:dyDescent="0.2">
      <c r="A25" s="7">
        <v>2</v>
      </c>
      <c r="B25" s="6" t="s">
        <v>82</v>
      </c>
      <c r="C25" s="8">
        <v>1190</v>
      </c>
      <c r="D25" s="6">
        <v>720.10599999999999</v>
      </c>
      <c r="E25" s="8">
        <v>856926</v>
      </c>
      <c r="F25" s="6">
        <v>347</v>
      </c>
      <c r="G25" s="6">
        <v>856926</v>
      </c>
      <c r="H25" s="8">
        <v>148.166</v>
      </c>
      <c r="I25" s="4" t="s">
        <v>32</v>
      </c>
      <c r="J25" s="6" t="s">
        <v>34</v>
      </c>
      <c r="K25" s="6" t="s">
        <v>41</v>
      </c>
      <c r="L25" s="6">
        <f>H25/4</f>
        <v>37.041499999999999</v>
      </c>
      <c r="M25" s="4" t="s">
        <v>39</v>
      </c>
      <c r="N25" s="6">
        <f t="shared" si="6"/>
        <v>634848.09337863221</v>
      </c>
      <c r="O25" s="6">
        <f t="shared" ref="O25:O88" si="7">N25/L25</f>
        <v>17138.833291811407</v>
      </c>
    </row>
    <row r="26" spans="1:15" x14ac:dyDescent="0.2">
      <c r="A26" s="7">
        <v>3</v>
      </c>
      <c r="B26" s="6" t="s">
        <v>83</v>
      </c>
      <c r="C26" s="8">
        <v>1839</v>
      </c>
      <c r="D26" s="6">
        <v>977.79499999999996</v>
      </c>
      <c r="E26" s="8">
        <v>1798165</v>
      </c>
      <c r="F26" s="6">
        <v>512</v>
      </c>
      <c r="G26" s="6">
        <v>1798165</v>
      </c>
      <c r="H26" s="8">
        <v>229.02699999999999</v>
      </c>
      <c r="I26" s="4" t="s">
        <v>38</v>
      </c>
      <c r="J26" s="6" t="s">
        <v>34</v>
      </c>
      <c r="K26" s="6" t="s">
        <v>41</v>
      </c>
      <c r="L26" s="6">
        <f t="shared" ref="L26:L46" si="8">H26/4</f>
        <v>57.256749999999997</v>
      </c>
      <c r="M26" s="4" t="s">
        <v>39</v>
      </c>
      <c r="N26" s="6">
        <f t="shared" si="6"/>
        <v>1454970.6552296679</v>
      </c>
      <c r="O26" s="6">
        <f t="shared" si="7"/>
        <v>25411.338492486353</v>
      </c>
    </row>
    <row r="27" spans="1:15" x14ac:dyDescent="0.2">
      <c r="A27" s="7">
        <v>4</v>
      </c>
      <c r="B27" s="6" t="s">
        <v>84</v>
      </c>
      <c r="C27" s="8">
        <v>1421</v>
      </c>
      <c r="D27" s="6">
        <v>437.65199999999999</v>
      </c>
      <c r="E27" s="8">
        <v>621903</v>
      </c>
      <c r="F27" s="6">
        <v>270</v>
      </c>
      <c r="G27" s="6">
        <v>621903</v>
      </c>
      <c r="H27" s="8">
        <v>176.56700000000001</v>
      </c>
      <c r="I27" s="4" t="s">
        <v>33</v>
      </c>
      <c r="J27" s="6" t="s">
        <v>34</v>
      </c>
      <c r="K27" s="6" t="s">
        <v>41</v>
      </c>
      <c r="L27" s="6">
        <f t="shared" si="8"/>
        <v>44.141750000000002</v>
      </c>
      <c r="M27" s="4" t="s">
        <v>39</v>
      </c>
      <c r="N27" s="6">
        <f t="shared" si="6"/>
        <v>356715.85268154327</v>
      </c>
      <c r="O27" s="6">
        <f t="shared" si="7"/>
        <v>8081.1443289299414</v>
      </c>
    </row>
    <row r="28" spans="1:15" x14ac:dyDescent="0.2">
      <c r="A28" s="7">
        <v>5</v>
      </c>
      <c r="B28" s="6" t="s">
        <v>85</v>
      </c>
      <c r="C28" s="8">
        <v>1477</v>
      </c>
      <c r="D28" s="6">
        <v>418.73399999999998</v>
      </c>
      <c r="E28" s="8">
        <v>618470</v>
      </c>
      <c r="F28" s="6">
        <v>259</v>
      </c>
      <c r="G28" s="6">
        <v>618470</v>
      </c>
      <c r="H28" s="8">
        <v>184.06899999999999</v>
      </c>
      <c r="I28" s="4" t="s">
        <v>43</v>
      </c>
      <c r="J28" s="6" t="s">
        <v>34</v>
      </c>
      <c r="K28" s="6" t="s">
        <v>41</v>
      </c>
      <c r="L28" s="6">
        <f t="shared" si="8"/>
        <v>46.017249999999997</v>
      </c>
      <c r="M28" s="4" t="s">
        <v>39</v>
      </c>
      <c r="N28" s="6">
        <f t="shared" si="6"/>
        <v>342832.12766406708</v>
      </c>
      <c r="O28" s="6">
        <f t="shared" si="7"/>
        <v>7450.0785610627991</v>
      </c>
    </row>
    <row r="29" spans="1:15" x14ac:dyDescent="0.2">
      <c r="A29" s="7">
        <v>6</v>
      </c>
      <c r="B29" s="6" t="s">
        <v>86</v>
      </c>
      <c r="C29" s="8">
        <v>1404</v>
      </c>
      <c r="D29" s="6">
        <v>606.54600000000005</v>
      </c>
      <c r="E29" s="8">
        <v>851590</v>
      </c>
      <c r="F29" s="6">
        <v>325</v>
      </c>
      <c r="G29" s="6">
        <v>851590</v>
      </c>
      <c r="H29" s="8">
        <v>174.494</v>
      </c>
      <c r="I29" s="4" t="s">
        <v>44</v>
      </c>
      <c r="J29" s="6" t="s">
        <v>34</v>
      </c>
      <c r="K29" s="6" t="s">
        <v>41</v>
      </c>
      <c r="L29" s="6">
        <f t="shared" si="8"/>
        <v>43.6235</v>
      </c>
      <c r="M29" s="4" t="s">
        <v>39</v>
      </c>
      <c r="N29" s="6">
        <f t="shared" si="6"/>
        <v>589575.3942047056</v>
      </c>
      <c r="O29" s="6">
        <f t="shared" si="7"/>
        <v>13515.086918855792</v>
      </c>
    </row>
    <row r="30" spans="1:15" x14ac:dyDescent="0.2">
      <c r="A30" s="7">
        <v>7</v>
      </c>
      <c r="B30" s="6" t="s">
        <v>87</v>
      </c>
      <c r="C30" s="8">
        <v>1728</v>
      </c>
      <c r="D30" s="6">
        <v>686.11900000000003</v>
      </c>
      <c r="E30" s="8">
        <v>1185614</v>
      </c>
      <c r="F30" s="6">
        <v>349</v>
      </c>
      <c r="G30" s="6">
        <v>1185614</v>
      </c>
      <c r="H30" s="8">
        <v>216.32900000000001</v>
      </c>
      <c r="I30" s="4" t="s">
        <v>45</v>
      </c>
      <c r="J30" s="6" t="s">
        <v>34</v>
      </c>
      <c r="K30" s="6" t="s">
        <v>41</v>
      </c>
      <c r="L30" s="6">
        <f t="shared" si="8"/>
        <v>54.082250000000002</v>
      </c>
      <c r="M30" s="4" t="s">
        <v>39</v>
      </c>
      <c r="N30" s="6">
        <f t="shared" si="6"/>
        <v>863134.48517502239</v>
      </c>
      <c r="O30" s="6">
        <f t="shared" si="7"/>
        <v>15959.663016516923</v>
      </c>
    </row>
    <row r="31" spans="1:15" x14ac:dyDescent="0.2">
      <c r="A31" s="7">
        <v>8</v>
      </c>
      <c r="B31" s="6" t="s">
        <v>88</v>
      </c>
      <c r="C31" s="8">
        <v>1491</v>
      </c>
      <c r="D31" s="6">
        <v>663.71400000000006</v>
      </c>
      <c r="E31" s="8">
        <v>989598</v>
      </c>
      <c r="F31" s="6">
        <v>374</v>
      </c>
      <c r="G31" s="6">
        <v>989598</v>
      </c>
      <c r="H31" s="8">
        <v>185.11600000000001</v>
      </c>
      <c r="I31" s="4" t="s">
        <v>46</v>
      </c>
      <c r="J31" s="6" t="s">
        <v>34</v>
      </c>
      <c r="K31" s="6" t="s">
        <v>41</v>
      </c>
      <c r="L31" s="6">
        <f t="shared" si="8"/>
        <v>46.279000000000003</v>
      </c>
      <c r="M31" s="4" t="s">
        <v>39</v>
      </c>
      <c r="N31" s="6">
        <f t="shared" si="6"/>
        <v>711347.44640969811</v>
      </c>
      <c r="O31" s="6">
        <f>N31/L31</f>
        <v>15370.847391034769</v>
      </c>
    </row>
    <row r="32" spans="1:15" x14ac:dyDescent="0.2">
      <c r="A32" s="7">
        <v>9</v>
      </c>
      <c r="B32" s="6" t="s">
        <v>89</v>
      </c>
      <c r="C32" s="8">
        <v>1104</v>
      </c>
      <c r="D32" s="6">
        <v>183.423</v>
      </c>
      <c r="E32" s="8">
        <v>202499</v>
      </c>
      <c r="F32" s="6">
        <v>173</v>
      </c>
      <c r="G32" s="6">
        <v>202499</v>
      </c>
      <c r="H32" s="8">
        <v>137.84899999999999</v>
      </c>
      <c r="I32" s="6" t="s">
        <v>23</v>
      </c>
      <c r="J32" s="6"/>
      <c r="K32" s="6" t="s">
        <v>41</v>
      </c>
      <c r="L32" s="6">
        <f t="shared" si="8"/>
        <v>34.462249999999997</v>
      </c>
      <c r="M32" s="4" t="s">
        <v>39</v>
      </c>
      <c r="N32" s="6"/>
      <c r="O32" s="6">
        <f t="shared" si="7"/>
        <v>0</v>
      </c>
    </row>
    <row r="33" spans="1:15" x14ac:dyDescent="0.2">
      <c r="A33" s="7">
        <v>10</v>
      </c>
      <c r="B33" s="6" t="s">
        <v>90</v>
      </c>
      <c r="C33" s="8">
        <v>1203</v>
      </c>
      <c r="D33" s="6">
        <v>183.49700000000001</v>
      </c>
      <c r="E33" s="8">
        <v>220747</v>
      </c>
      <c r="F33" s="6">
        <v>173</v>
      </c>
      <c r="G33" s="6">
        <v>220747</v>
      </c>
      <c r="H33" s="8">
        <v>149.738</v>
      </c>
      <c r="I33" s="6" t="s">
        <v>23</v>
      </c>
      <c r="J33" s="6"/>
      <c r="K33" s="6" t="s">
        <v>41</v>
      </c>
      <c r="L33" s="6">
        <f t="shared" si="8"/>
        <v>37.4345</v>
      </c>
      <c r="M33" s="4" t="s">
        <v>39</v>
      </c>
      <c r="N33" s="6"/>
      <c r="O33" s="6">
        <f t="shared" si="7"/>
        <v>0</v>
      </c>
    </row>
    <row r="34" spans="1:15" x14ac:dyDescent="0.2">
      <c r="A34" s="7">
        <v>11</v>
      </c>
      <c r="B34" s="6" t="s">
        <v>91</v>
      </c>
      <c r="C34" s="8">
        <v>936</v>
      </c>
      <c r="D34" s="6">
        <v>192.94</v>
      </c>
      <c r="E34" s="8">
        <v>180592</v>
      </c>
      <c r="F34" s="6">
        <v>184</v>
      </c>
      <c r="G34" s="6">
        <v>180592</v>
      </c>
      <c r="H34" s="8">
        <v>116.572</v>
      </c>
      <c r="I34" s="6" t="s">
        <v>23</v>
      </c>
      <c r="J34" s="6"/>
      <c r="K34" s="6" t="s">
        <v>41</v>
      </c>
      <c r="L34" s="6">
        <f t="shared" si="8"/>
        <v>29.143000000000001</v>
      </c>
      <c r="M34" s="4" t="s">
        <v>39</v>
      </c>
      <c r="N34" s="6"/>
      <c r="O34" s="6">
        <f t="shared" si="7"/>
        <v>0</v>
      </c>
    </row>
    <row r="35" spans="1:15" x14ac:dyDescent="0.2">
      <c r="A35" s="3">
        <v>1</v>
      </c>
      <c r="B35" s="4" t="s">
        <v>92</v>
      </c>
      <c r="C35" s="5">
        <v>1500</v>
      </c>
      <c r="D35" s="4">
        <v>1221.8900000000001</v>
      </c>
      <c r="E35" s="5">
        <v>1832835</v>
      </c>
      <c r="F35" s="4">
        <v>620</v>
      </c>
      <c r="G35" s="4">
        <v>1832835</v>
      </c>
      <c r="H35" s="5">
        <v>186.80799999999999</v>
      </c>
      <c r="I35" s="4" t="s">
        <v>47</v>
      </c>
      <c r="J35" s="4" t="s">
        <v>34</v>
      </c>
      <c r="K35" s="6" t="s">
        <v>41</v>
      </c>
      <c r="L35" s="4">
        <f t="shared" si="8"/>
        <v>46.701999999999998</v>
      </c>
      <c r="M35" s="4" t="s">
        <v>40</v>
      </c>
      <c r="N35" s="4">
        <f>G35-(((G$43/C$43*C35)+(G$44/C$44*C35)+(G$45/C$45*C35))/3)</f>
        <v>1559328.3904918977</v>
      </c>
      <c r="O35" s="4">
        <f t="shared" si="7"/>
        <v>33388.899629392698</v>
      </c>
    </row>
    <row r="36" spans="1:15" x14ac:dyDescent="0.2">
      <c r="A36" s="7">
        <v>2</v>
      </c>
      <c r="B36" s="6" t="s">
        <v>93</v>
      </c>
      <c r="C36" s="8">
        <v>1410</v>
      </c>
      <c r="D36" s="6">
        <v>626.221</v>
      </c>
      <c r="E36" s="8">
        <v>882971</v>
      </c>
      <c r="F36" s="6">
        <v>346</v>
      </c>
      <c r="G36" s="6">
        <v>882971</v>
      </c>
      <c r="H36" s="8">
        <v>176.39500000000001</v>
      </c>
      <c r="I36" s="4" t="s">
        <v>48</v>
      </c>
      <c r="J36" s="6" t="s">
        <v>34</v>
      </c>
      <c r="K36" s="6" t="s">
        <v>41</v>
      </c>
      <c r="L36" s="6">
        <f t="shared" si="8"/>
        <v>44.098750000000003</v>
      </c>
      <c r="M36" s="6" t="s">
        <v>40</v>
      </c>
      <c r="N36" s="4">
        <f t="shared" ref="N36:N42" si="9">G36-(((G$43/C$43*C36)+(G$44/C$44*C36)+(G$45/C$45*C36))/3)</f>
        <v>625874.78706238384</v>
      </c>
      <c r="O36" s="6">
        <f>N36/L36</f>
        <v>14192.574326083706</v>
      </c>
    </row>
    <row r="37" spans="1:15" x14ac:dyDescent="0.2">
      <c r="A37" s="7">
        <v>3</v>
      </c>
      <c r="B37" s="6" t="s">
        <v>94</v>
      </c>
      <c r="C37" s="8">
        <v>1303</v>
      </c>
      <c r="D37" s="6">
        <v>397.209</v>
      </c>
      <c r="E37" s="8">
        <v>517563</v>
      </c>
      <c r="F37" s="6">
        <v>272</v>
      </c>
      <c r="G37" s="6">
        <v>517563</v>
      </c>
      <c r="H37" s="8">
        <v>162.25399999999999</v>
      </c>
      <c r="I37" s="4" t="s">
        <v>49</v>
      </c>
      <c r="J37" s="6" t="s">
        <v>34</v>
      </c>
      <c r="K37" s="6" t="s">
        <v>41</v>
      </c>
      <c r="L37" s="6">
        <f t="shared" si="8"/>
        <v>40.563499999999998</v>
      </c>
      <c r="M37" s="4" t="s">
        <v>40</v>
      </c>
      <c r="N37" s="4">
        <f t="shared" si="9"/>
        <v>279976.92520729511</v>
      </c>
      <c r="O37" s="6">
        <f>N37/L37</f>
        <v>6902.1885489983633</v>
      </c>
    </row>
    <row r="38" spans="1:15" x14ac:dyDescent="0.2">
      <c r="A38" s="7">
        <v>4</v>
      </c>
      <c r="B38" s="6" t="s">
        <v>95</v>
      </c>
      <c r="C38" s="8">
        <v>1391</v>
      </c>
      <c r="D38" s="6">
        <v>811.24199999999996</v>
      </c>
      <c r="E38" s="8">
        <v>1128437</v>
      </c>
      <c r="F38" s="6">
        <v>420</v>
      </c>
      <c r="G38" s="6">
        <v>1128437</v>
      </c>
      <c r="H38" s="8">
        <v>172.815</v>
      </c>
      <c r="I38" s="4" t="s">
        <v>50</v>
      </c>
      <c r="J38" s="6" t="s">
        <v>34</v>
      </c>
      <c r="K38" s="6" t="s">
        <v>41</v>
      </c>
      <c r="L38" s="6">
        <f t="shared" si="8"/>
        <v>43.203749999999999</v>
      </c>
      <c r="M38" s="6" t="s">
        <v>40</v>
      </c>
      <c r="N38" s="4">
        <f t="shared" si="9"/>
        <v>874805.20411615318</v>
      </c>
      <c r="O38" s="6">
        <f>N38/L38</f>
        <v>20248.362795270161</v>
      </c>
    </row>
    <row r="39" spans="1:15" x14ac:dyDescent="0.2">
      <c r="A39" s="7">
        <v>5</v>
      </c>
      <c r="B39" s="6" t="s">
        <v>96</v>
      </c>
      <c r="C39" s="8">
        <v>1400</v>
      </c>
      <c r="D39" s="6">
        <v>837.048</v>
      </c>
      <c r="E39" s="8">
        <v>1171867</v>
      </c>
      <c r="F39" s="6">
        <v>397</v>
      </c>
      <c r="G39" s="6">
        <v>1171867</v>
      </c>
      <c r="H39" s="8">
        <v>174.74299999999999</v>
      </c>
      <c r="I39" s="4" t="s">
        <v>51</v>
      </c>
      <c r="J39" s="6" t="s">
        <v>34</v>
      </c>
      <c r="K39" s="6" t="s">
        <v>41</v>
      </c>
      <c r="L39" s="6">
        <f t="shared" si="8"/>
        <v>43.685749999999999</v>
      </c>
      <c r="M39" s="4" t="s">
        <v>40</v>
      </c>
      <c r="N39" s="4">
        <f t="shared" si="9"/>
        <v>916594.16445910453</v>
      </c>
      <c r="O39" s="6">
        <f>N39/L39</f>
        <v>20981.536644308602</v>
      </c>
    </row>
    <row r="40" spans="1:15" x14ac:dyDescent="0.2">
      <c r="A40" s="7">
        <v>6</v>
      </c>
      <c r="B40" s="6" t="s">
        <v>97</v>
      </c>
      <c r="C40" s="8">
        <v>1671</v>
      </c>
      <c r="D40" s="6">
        <v>717.53200000000004</v>
      </c>
      <c r="E40" s="8">
        <v>1198996</v>
      </c>
      <c r="F40" s="6">
        <v>321</v>
      </c>
      <c r="G40" s="6">
        <v>1198996</v>
      </c>
      <c r="H40" s="8">
        <v>207.673</v>
      </c>
      <c r="I40" s="4" t="s">
        <v>52</v>
      </c>
      <c r="J40" s="6" t="s">
        <v>34</v>
      </c>
      <c r="K40" s="6" t="s">
        <v>41</v>
      </c>
      <c r="L40" s="6">
        <f t="shared" si="8"/>
        <v>51.91825</v>
      </c>
      <c r="M40" s="6" t="s">
        <v>40</v>
      </c>
      <c r="N40" s="4">
        <f t="shared" si="9"/>
        <v>894309.63700797409</v>
      </c>
      <c r="O40" s="6">
        <f t="shared" si="7"/>
        <v>17225.342476065238</v>
      </c>
    </row>
    <row r="41" spans="1:15" x14ac:dyDescent="0.2">
      <c r="A41" s="7">
        <v>7</v>
      </c>
      <c r="B41" s="6" t="s">
        <v>98</v>
      </c>
      <c r="C41" s="8">
        <v>1420</v>
      </c>
      <c r="D41" s="6">
        <v>493.363</v>
      </c>
      <c r="E41" s="8">
        <v>700575</v>
      </c>
      <c r="F41" s="6">
        <v>292</v>
      </c>
      <c r="G41" s="6">
        <v>700575</v>
      </c>
      <c r="H41" s="8">
        <v>176.72900000000001</v>
      </c>
      <c r="I41" s="4" t="s">
        <v>53</v>
      </c>
      <c r="J41" s="6" t="s">
        <v>34</v>
      </c>
      <c r="K41" s="6" t="s">
        <v>41</v>
      </c>
      <c r="L41" s="6">
        <f t="shared" si="8"/>
        <v>44.182250000000003</v>
      </c>
      <c r="M41" s="4" t="s">
        <v>40</v>
      </c>
      <c r="N41" s="4">
        <f t="shared" si="9"/>
        <v>441655.40966566314</v>
      </c>
      <c r="O41" s="6">
        <f>N41/L41</f>
        <v>9996.2181569671775</v>
      </c>
    </row>
    <row r="42" spans="1:15" x14ac:dyDescent="0.2">
      <c r="A42" s="7">
        <v>8</v>
      </c>
      <c r="B42" s="6" t="s">
        <v>99</v>
      </c>
      <c r="C42" s="8">
        <v>1249</v>
      </c>
      <c r="D42" s="6">
        <v>505.84100000000001</v>
      </c>
      <c r="E42" s="8">
        <v>631796</v>
      </c>
      <c r="F42" s="6">
        <v>308</v>
      </c>
      <c r="G42" s="6">
        <v>631796</v>
      </c>
      <c r="H42" s="8">
        <v>155.31</v>
      </c>
      <c r="I42" s="4" t="s">
        <v>54</v>
      </c>
      <c r="J42" s="6" t="s">
        <v>34</v>
      </c>
      <c r="K42" s="6" t="s">
        <v>41</v>
      </c>
      <c r="L42" s="6">
        <f t="shared" si="8"/>
        <v>38.827500000000001</v>
      </c>
      <c r="M42" s="6" t="s">
        <v>40</v>
      </c>
      <c r="N42" s="4">
        <f t="shared" si="9"/>
        <v>404056.16314958676</v>
      </c>
      <c r="O42" s="6">
        <f>N42/L42</f>
        <v>10406.442937340462</v>
      </c>
    </row>
    <row r="43" spans="1:15" x14ac:dyDescent="0.2">
      <c r="A43" s="7">
        <v>9</v>
      </c>
      <c r="B43" s="6" t="s">
        <v>100</v>
      </c>
      <c r="C43" s="8">
        <v>1103</v>
      </c>
      <c r="D43" s="6">
        <v>183.37299999999999</v>
      </c>
      <c r="E43" s="8">
        <v>202260</v>
      </c>
      <c r="F43" s="6">
        <v>174</v>
      </c>
      <c r="G43" s="6">
        <v>202260</v>
      </c>
      <c r="H43" s="8">
        <v>137.12200000000001</v>
      </c>
      <c r="I43" s="6" t="s">
        <v>23</v>
      </c>
      <c r="J43" s="6"/>
      <c r="K43" s="6" t="s">
        <v>41</v>
      </c>
      <c r="L43" s="6">
        <f t="shared" si="8"/>
        <v>34.280500000000004</v>
      </c>
      <c r="M43" s="4" t="s">
        <v>40</v>
      </c>
      <c r="N43" s="6"/>
      <c r="O43" s="6">
        <f t="shared" si="7"/>
        <v>0</v>
      </c>
    </row>
    <row r="44" spans="1:15" x14ac:dyDescent="0.2">
      <c r="A44" s="7">
        <v>10</v>
      </c>
      <c r="B44" s="6" t="s">
        <v>101</v>
      </c>
      <c r="C44" s="8">
        <v>1264</v>
      </c>
      <c r="D44" s="6">
        <v>181.358</v>
      </c>
      <c r="E44" s="8">
        <v>229236</v>
      </c>
      <c r="F44" s="6">
        <v>172</v>
      </c>
      <c r="G44" s="6">
        <v>229236</v>
      </c>
      <c r="H44" s="8">
        <v>157.4</v>
      </c>
      <c r="I44" s="6" t="s">
        <v>23</v>
      </c>
      <c r="J44" s="6"/>
      <c r="K44" s="6" t="s">
        <v>41</v>
      </c>
      <c r="L44" s="6">
        <f t="shared" si="8"/>
        <v>39.35</v>
      </c>
      <c r="M44" s="6" t="s">
        <v>40</v>
      </c>
      <c r="N44" s="6"/>
      <c r="O44" s="6">
        <f t="shared" si="7"/>
        <v>0</v>
      </c>
    </row>
    <row r="45" spans="1:15" x14ac:dyDescent="0.2">
      <c r="A45" s="7">
        <v>11</v>
      </c>
      <c r="B45" s="6" t="s">
        <v>102</v>
      </c>
      <c r="C45" s="8">
        <v>1265</v>
      </c>
      <c r="D45" s="6">
        <v>182.28299999999999</v>
      </c>
      <c r="E45" s="8">
        <v>230588</v>
      </c>
      <c r="F45" s="6">
        <v>169</v>
      </c>
      <c r="G45" s="6">
        <v>230588</v>
      </c>
      <c r="H45" s="8">
        <v>157.01400000000001</v>
      </c>
      <c r="I45" s="6" t="s">
        <v>23</v>
      </c>
      <c r="J45" s="6"/>
      <c r="K45" s="6" t="s">
        <v>41</v>
      </c>
      <c r="L45" s="6">
        <f t="shared" si="8"/>
        <v>39.253500000000003</v>
      </c>
      <c r="M45" s="4" t="s">
        <v>40</v>
      </c>
      <c r="N45" s="6"/>
      <c r="O45" s="6">
        <f t="shared" si="7"/>
        <v>0</v>
      </c>
    </row>
    <row r="46" spans="1:15" s="4" customFormat="1" x14ac:dyDescent="0.2">
      <c r="A46" s="3">
        <v>1</v>
      </c>
      <c r="B46" s="4" t="s">
        <v>103</v>
      </c>
      <c r="C46" s="5">
        <v>1876</v>
      </c>
      <c r="D46" s="4">
        <v>583.61</v>
      </c>
      <c r="E46" s="5">
        <v>1094852</v>
      </c>
      <c r="F46" s="4">
        <v>299</v>
      </c>
      <c r="G46" s="4">
        <v>1094852</v>
      </c>
      <c r="H46" s="5">
        <v>233.80799999999999</v>
      </c>
      <c r="I46" s="4" t="s">
        <v>36</v>
      </c>
      <c r="J46" s="4" t="s">
        <v>34</v>
      </c>
      <c r="K46" s="4" t="s">
        <v>42</v>
      </c>
      <c r="L46" s="4">
        <f t="shared" si="8"/>
        <v>58.451999999999998</v>
      </c>
      <c r="M46" s="4" t="s">
        <v>55</v>
      </c>
      <c r="N46" s="4">
        <f t="shared" ref="N46" si="10">G46-(((G$54/C$54*C46)+(G$55/C$55*C46)+(G$56/C$56*C46))/3)</f>
        <v>759250.23080399702</v>
      </c>
      <c r="O46" s="4">
        <f>N46/L46</f>
        <v>12989.294306507853</v>
      </c>
    </row>
    <row r="47" spans="1:15" s="6" customFormat="1" x14ac:dyDescent="0.2">
      <c r="A47" s="7">
        <v>2</v>
      </c>
      <c r="B47" s="6" t="s">
        <v>104</v>
      </c>
      <c r="C47" s="8">
        <v>1410</v>
      </c>
      <c r="D47" s="6">
        <v>840.73500000000001</v>
      </c>
      <c r="E47" s="8">
        <v>1185437</v>
      </c>
      <c r="F47" s="6">
        <v>415</v>
      </c>
      <c r="G47" s="6">
        <v>1185437</v>
      </c>
      <c r="H47" s="8">
        <v>175.43299999999999</v>
      </c>
      <c r="I47" s="6" t="s">
        <v>16</v>
      </c>
      <c r="J47" s="6" t="s">
        <v>34</v>
      </c>
      <c r="K47" s="6" t="s">
        <v>42</v>
      </c>
      <c r="L47" s="6">
        <f t="shared" ref="L47:L56" si="11">H47/4</f>
        <v>43.858249999999998</v>
      </c>
      <c r="M47" s="6" t="s">
        <v>55</v>
      </c>
      <c r="N47" s="6">
        <f t="shared" ref="N47:N53" si="12">G47-(((G$54/C$54*C47)+(G$55/C$55*C47)+(G$56/C$56*C47))/3)</f>
        <v>933198.99649980583</v>
      </c>
      <c r="O47" s="6">
        <f>N47/L47</f>
        <v>21277.615876142023</v>
      </c>
    </row>
    <row r="48" spans="1:15" s="6" customFormat="1" x14ac:dyDescent="0.2">
      <c r="A48" s="7">
        <v>3</v>
      </c>
      <c r="B48" s="6" t="s">
        <v>105</v>
      </c>
      <c r="C48" s="8">
        <v>1288</v>
      </c>
      <c r="D48" s="6">
        <v>230.34399999999999</v>
      </c>
      <c r="E48" s="8">
        <v>296683</v>
      </c>
      <c r="F48" s="6">
        <v>201</v>
      </c>
      <c r="G48" s="6">
        <v>296683</v>
      </c>
      <c r="H48" s="8">
        <v>160.53299999999999</v>
      </c>
      <c r="I48" s="6" t="s">
        <v>17</v>
      </c>
      <c r="J48" s="6" t="s">
        <v>34</v>
      </c>
      <c r="K48" s="6" t="s">
        <v>42</v>
      </c>
      <c r="L48" s="6">
        <f t="shared" si="11"/>
        <v>40.133249999999997</v>
      </c>
      <c r="M48" s="6" t="s">
        <v>55</v>
      </c>
      <c r="N48" s="6">
        <f t="shared" si="12"/>
        <v>66269.84502960986</v>
      </c>
      <c r="O48" s="6">
        <f>N48/L48</f>
        <v>1651.245414453349</v>
      </c>
    </row>
    <row r="49" spans="1:15" s="6" customFormat="1" x14ac:dyDescent="0.2">
      <c r="A49" s="7">
        <v>4</v>
      </c>
      <c r="B49" s="6" t="s">
        <v>106</v>
      </c>
      <c r="C49" s="8">
        <v>1129</v>
      </c>
      <c r="D49" s="6">
        <v>200.23</v>
      </c>
      <c r="E49" s="8">
        <v>226060</v>
      </c>
      <c r="F49" s="6">
        <v>181</v>
      </c>
      <c r="G49" s="6">
        <v>226060</v>
      </c>
      <c r="H49" s="8">
        <v>140.25299999999999</v>
      </c>
      <c r="I49" s="6" t="s">
        <v>18</v>
      </c>
      <c r="J49" s="6" t="s">
        <v>34</v>
      </c>
      <c r="K49" s="6" t="s">
        <v>42</v>
      </c>
      <c r="L49" s="6">
        <f t="shared" si="11"/>
        <v>35.063249999999996</v>
      </c>
      <c r="M49" s="6" t="s">
        <v>55</v>
      </c>
      <c r="N49" s="6">
        <f t="shared" si="12"/>
        <v>24090.704998780653</v>
      </c>
      <c r="O49" s="6">
        <f>N49/L49</f>
        <v>687.0642338853545</v>
      </c>
    </row>
    <row r="50" spans="1:15" s="6" customFormat="1" x14ac:dyDescent="0.2">
      <c r="A50" s="7">
        <v>5</v>
      </c>
      <c r="B50" s="6" t="s">
        <v>107</v>
      </c>
      <c r="C50" s="8">
        <v>1370</v>
      </c>
      <c r="D50" s="6">
        <v>521.27200000000005</v>
      </c>
      <c r="E50" s="8">
        <v>714142</v>
      </c>
      <c r="F50" s="6">
        <v>280</v>
      </c>
      <c r="G50" s="6">
        <v>714142</v>
      </c>
      <c r="H50" s="8">
        <v>170.714</v>
      </c>
      <c r="I50" s="6" t="s">
        <v>19</v>
      </c>
      <c r="J50" s="6" t="s">
        <v>34</v>
      </c>
      <c r="K50" s="6" t="s">
        <v>42</v>
      </c>
      <c r="L50" s="6">
        <f t="shared" si="11"/>
        <v>42.6785</v>
      </c>
      <c r="M50" s="6" t="s">
        <v>55</v>
      </c>
      <c r="N50" s="6">
        <f t="shared" si="12"/>
        <v>469059.68454236456</v>
      </c>
      <c r="O50" s="6">
        <f t="shared" si="7"/>
        <v>10990.538199382934</v>
      </c>
    </row>
    <row r="51" spans="1:15" s="6" customFormat="1" x14ac:dyDescent="0.2">
      <c r="A51" s="7">
        <v>6</v>
      </c>
      <c r="B51" s="6" t="s">
        <v>108</v>
      </c>
      <c r="C51" s="8">
        <v>1342</v>
      </c>
      <c r="D51" s="6">
        <v>967.18600000000004</v>
      </c>
      <c r="E51" s="8">
        <v>1297963</v>
      </c>
      <c r="F51" s="6">
        <v>428</v>
      </c>
      <c r="G51" s="6">
        <v>1297963</v>
      </c>
      <c r="H51" s="8">
        <v>168.12100000000001</v>
      </c>
      <c r="I51" s="6" t="s">
        <v>20</v>
      </c>
      <c r="J51" s="6" t="s">
        <v>34</v>
      </c>
      <c r="K51" s="6" t="s">
        <v>42</v>
      </c>
      <c r="L51" s="6">
        <f t="shared" si="11"/>
        <v>42.030250000000002</v>
      </c>
      <c r="M51" s="6" t="s">
        <v>55</v>
      </c>
      <c r="N51" s="6">
        <f t="shared" si="12"/>
        <v>1057889.6661721556</v>
      </c>
      <c r="O51" s="6">
        <f t="shared" si="7"/>
        <v>25169.7210026625</v>
      </c>
    </row>
    <row r="52" spans="1:15" s="6" customFormat="1" x14ac:dyDescent="0.2">
      <c r="A52" s="7">
        <v>7</v>
      </c>
      <c r="B52" s="6" t="s">
        <v>109</v>
      </c>
      <c r="C52" s="8">
        <v>1531</v>
      </c>
      <c r="D52" s="6">
        <v>773.82299999999998</v>
      </c>
      <c r="E52" s="8">
        <v>1184723</v>
      </c>
      <c r="F52" s="6">
        <v>382</v>
      </c>
      <c r="G52" s="6">
        <v>1184723</v>
      </c>
      <c r="H52" s="8">
        <v>191.04300000000001</v>
      </c>
      <c r="I52" s="6" t="s">
        <v>21</v>
      </c>
      <c r="J52" s="6" t="s">
        <v>34</v>
      </c>
      <c r="K52" s="6" t="s">
        <v>42</v>
      </c>
      <c r="L52" s="6">
        <f t="shared" si="11"/>
        <v>47.760750000000002</v>
      </c>
      <c r="M52" s="6" t="s">
        <v>55</v>
      </c>
      <c r="N52" s="6">
        <f t="shared" si="12"/>
        <v>910839.04017106572</v>
      </c>
      <c r="O52" s="6">
        <f t="shared" si="7"/>
        <v>19070.869703073458</v>
      </c>
    </row>
    <row r="53" spans="1:15" s="6" customFormat="1" x14ac:dyDescent="0.2">
      <c r="A53" s="7">
        <v>8</v>
      </c>
      <c r="B53" s="6" t="s">
        <v>110</v>
      </c>
      <c r="C53" s="8">
        <v>1445</v>
      </c>
      <c r="D53" s="6">
        <v>550.72299999999996</v>
      </c>
      <c r="E53" s="8">
        <v>795795</v>
      </c>
      <c r="F53" s="6">
        <v>336</v>
      </c>
      <c r="G53" s="6">
        <v>795795</v>
      </c>
      <c r="H53" s="8">
        <v>179.84</v>
      </c>
      <c r="I53" s="6" t="s">
        <v>22</v>
      </c>
      <c r="J53" s="6" t="s">
        <v>34</v>
      </c>
      <c r="K53" s="6" t="s">
        <v>42</v>
      </c>
      <c r="L53" s="6">
        <f t="shared" si="11"/>
        <v>44.96</v>
      </c>
      <c r="M53" s="6" t="s">
        <v>55</v>
      </c>
      <c r="N53" s="6">
        <f t="shared" si="12"/>
        <v>537295.76946256694</v>
      </c>
      <c r="O53" s="6">
        <f t="shared" si="7"/>
        <v>11950.528680217236</v>
      </c>
    </row>
    <row r="54" spans="1:15" s="6" customFormat="1" x14ac:dyDescent="0.2">
      <c r="A54" s="7">
        <v>9</v>
      </c>
      <c r="B54" s="6" t="s">
        <v>111</v>
      </c>
      <c r="C54" s="8">
        <v>1142</v>
      </c>
      <c r="D54" s="6">
        <v>175.477</v>
      </c>
      <c r="E54" s="8">
        <v>200395</v>
      </c>
      <c r="F54" s="6">
        <v>164</v>
      </c>
      <c r="G54" s="6">
        <v>200395</v>
      </c>
      <c r="H54" s="8">
        <v>141.453</v>
      </c>
      <c r="I54" s="6" t="s">
        <v>23</v>
      </c>
      <c r="K54" s="6" t="s">
        <v>42</v>
      </c>
      <c r="L54" s="6">
        <f t="shared" si="11"/>
        <v>35.363250000000001</v>
      </c>
      <c r="M54" s="6" t="s">
        <v>55</v>
      </c>
      <c r="O54" s="6">
        <f t="shared" si="7"/>
        <v>0</v>
      </c>
    </row>
    <row r="55" spans="1:15" s="6" customFormat="1" x14ac:dyDescent="0.2">
      <c r="A55" s="7">
        <v>10</v>
      </c>
      <c r="B55" s="6" t="s">
        <v>112</v>
      </c>
      <c r="C55" s="8">
        <v>1145</v>
      </c>
      <c r="D55" s="6">
        <v>176.09200000000001</v>
      </c>
      <c r="E55" s="8">
        <v>201625</v>
      </c>
      <c r="F55" s="6">
        <v>167</v>
      </c>
      <c r="G55" s="6">
        <v>201625</v>
      </c>
      <c r="H55" s="8">
        <v>142.19499999999999</v>
      </c>
      <c r="I55" s="6" t="s">
        <v>23</v>
      </c>
      <c r="K55" s="6" t="s">
        <v>42</v>
      </c>
      <c r="L55" s="6">
        <f t="shared" si="11"/>
        <v>35.548749999999998</v>
      </c>
      <c r="M55" s="6" t="s">
        <v>55</v>
      </c>
      <c r="O55" s="6">
        <f t="shared" si="7"/>
        <v>0</v>
      </c>
    </row>
    <row r="56" spans="1:15" s="10" customFormat="1" x14ac:dyDescent="0.2">
      <c r="A56" s="9">
        <v>11</v>
      </c>
      <c r="B56" s="10" t="s">
        <v>113</v>
      </c>
      <c r="C56" s="11">
        <v>1226</v>
      </c>
      <c r="D56" s="10">
        <v>185.108</v>
      </c>
      <c r="E56" s="11">
        <v>226942</v>
      </c>
      <c r="F56" s="10">
        <v>174</v>
      </c>
      <c r="G56" s="10">
        <v>226942</v>
      </c>
      <c r="H56" s="11">
        <v>152.05000000000001</v>
      </c>
      <c r="I56" s="10" t="s">
        <v>23</v>
      </c>
      <c r="K56" s="10" t="s">
        <v>42</v>
      </c>
      <c r="L56" s="10">
        <f t="shared" si="11"/>
        <v>38.012500000000003</v>
      </c>
      <c r="M56" s="10" t="s">
        <v>55</v>
      </c>
      <c r="O56" s="10">
        <f t="shared" si="7"/>
        <v>0</v>
      </c>
    </row>
    <row r="57" spans="1:15" x14ac:dyDescent="0.2">
      <c r="A57" s="7">
        <v>1</v>
      </c>
      <c r="B57" s="6" t="s">
        <v>114</v>
      </c>
      <c r="C57" s="8">
        <v>1457</v>
      </c>
      <c r="D57" s="6">
        <v>486.17200000000003</v>
      </c>
      <c r="E57" s="8">
        <v>708353</v>
      </c>
      <c r="F57" s="6">
        <v>252</v>
      </c>
      <c r="G57" s="6">
        <v>708353</v>
      </c>
      <c r="H57" s="8">
        <v>180.93899999999999</v>
      </c>
      <c r="I57" s="6" t="s">
        <v>24</v>
      </c>
      <c r="J57" s="6" t="s">
        <v>34</v>
      </c>
      <c r="K57" s="6" t="s">
        <v>42</v>
      </c>
      <c r="L57" s="6">
        <f t="shared" ref="L57:L77" si="13">H57/4</f>
        <v>45.234749999999998</v>
      </c>
      <c r="M57" s="6" t="s">
        <v>56</v>
      </c>
      <c r="N57" s="6">
        <f t="shared" ref="N57:N63" si="14">G57-(((G$64/C$64*C57)+(G$65/C$65*C57)+(G$66/C$66*C57))/3)</f>
        <v>451349.36185872334</v>
      </c>
      <c r="O57" s="6">
        <f>N57/L57</f>
        <v>9977.9342620158914</v>
      </c>
    </row>
    <row r="58" spans="1:15" x14ac:dyDescent="0.2">
      <c r="A58" s="7">
        <v>2</v>
      </c>
      <c r="B58" s="6" t="s">
        <v>115</v>
      </c>
      <c r="C58" s="8">
        <v>1239</v>
      </c>
      <c r="D58" s="6">
        <v>631.654</v>
      </c>
      <c r="E58" s="8">
        <v>782619</v>
      </c>
      <c r="F58" s="6">
        <v>348</v>
      </c>
      <c r="G58" s="6">
        <v>782619</v>
      </c>
      <c r="H58" s="8">
        <v>154.471</v>
      </c>
      <c r="I58" s="6" t="s">
        <v>25</v>
      </c>
      <c r="J58" s="6" t="s">
        <v>34</v>
      </c>
      <c r="K58" s="6" t="s">
        <v>42</v>
      </c>
      <c r="L58" s="6">
        <f t="shared" si="13"/>
        <v>38.617750000000001</v>
      </c>
      <c r="M58" s="6" t="s">
        <v>56</v>
      </c>
      <c r="N58" s="6">
        <f t="shared" si="14"/>
        <v>564068.89179338247</v>
      </c>
      <c r="O58" s="6">
        <f>N58/L58</f>
        <v>14606.467020822873</v>
      </c>
    </row>
    <row r="59" spans="1:15" x14ac:dyDescent="0.2">
      <c r="A59" s="7">
        <v>3</v>
      </c>
      <c r="B59" s="6" t="s">
        <v>116</v>
      </c>
      <c r="C59" s="8">
        <v>1334</v>
      </c>
      <c r="D59" s="6">
        <v>440.80099999999999</v>
      </c>
      <c r="E59" s="8">
        <v>588028</v>
      </c>
      <c r="F59" s="6">
        <v>244</v>
      </c>
      <c r="G59" s="6">
        <v>588028</v>
      </c>
      <c r="H59" s="8">
        <v>166.03700000000001</v>
      </c>
      <c r="I59" s="6" t="s">
        <v>27</v>
      </c>
      <c r="J59" s="6" t="s">
        <v>34</v>
      </c>
      <c r="K59" s="6" t="s">
        <v>42</v>
      </c>
      <c r="L59" s="6">
        <f t="shared" si="13"/>
        <v>41.509250000000002</v>
      </c>
      <c r="M59" s="6" t="s">
        <v>56</v>
      </c>
      <c r="N59" s="6">
        <f t="shared" si="14"/>
        <v>352720.6195741503</v>
      </c>
      <c r="O59" s="6">
        <f>N59/L59</f>
        <v>8497.3980395731141</v>
      </c>
    </row>
    <row r="60" spans="1:15" x14ac:dyDescent="0.2">
      <c r="A60" s="7">
        <v>4</v>
      </c>
      <c r="B60" s="6" t="s">
        <v>117</v>
      </c>
      <c r="C60" s="8">
        <v>1226</v>
      </c>
      <c r="D60" s="6">
        <v>293.91800000000001</v>
      </c>
      <c r="E60" s="8">
        <v>360343</v>
      </c>
      <c r="F60" s="6">
        <v>192</v>
      </c>
      <c r="G60" s="6">
        <v>360343</v>
      </c>
      <c r="H60" s="8">
        <v>151.91499999999999</v>
      </c>
      <c r="I60" s="6" t="s">
        <v>28</v>
      </c>
      <c r="J60" s="6" t="s">
        <v>34</v>
      </c>
      <c r="K60" s="6" t="s">
        <v>42</v>
      </c>
      <c r="L60" s="6">
        <f t="shared" si="13"/>
        <v>37.978749999999998</v>
      </c>
      <c r="M60" s="6" t="s">
        <v>56</v>
      </c>
      <c r="N60" s="6">
        <f t="shared" si="14"/>
        <v>144085.99220233003</v>
      </c>
      <c r="O60" s="6">
        <f t="shared" si="7"/>
        <v>3793.8582023455233</v>
      </c>
    </row>
    <row r="61" spans="1:15" x14ac:dyDescent="0.2">
      <c r="A61" s="7">
        <v>5</v>
      </c>
      <c r="B61" s="6" t="s">
        <v>118</v>
      </c>
      <c r="C61" s="8">
        <v>1309</v>
      </c>
      <c r="D61" s="6">
        <v>445.53899999999999</v>
      </c>
      <c r="E61" s="8">
        <v>583210</v>
      </c>
      <c r="F61" s="6">
        <v>258</v>
      </c>
      <c r="G61" s="6">
        <v>583210</v>
      </c>
      <c r="H61" s="8">
        <v>162.84399999999999</v>
      </c>
      <c r="I61" s="6" t="s">
        <v>29</v>
      </c>
      <c r="J61" s="6" t="s">
        <v>34</v>
      </c>
      <c r="K61" s="6" t="s">
        <v>42</v>
      </c>
      <c r="L61" s="6">
        <f t="shared" si="13"/>
        <v>40.710999999999999</v>
      </c>
      <c r="M61" s="6" t="s">
        <v>56</v>
      </c>
      <c r="N61" s="6">
        <f t="shared" si="14"/>
        <v>352312.42805289559</v>
      </c>
      <c r="O61" s="6">
        <f t="shared" si="7"/>
        <v>8653.9860984229217</v>
      </c>
    </row>
    <row r="62" spans="1:15" x14ac:dyDescent="0.2">
      <c r="A62" s="7">
        <v>6</v>
      </c>
      <c r="B62" s="6" t="s">
        <v>119</v>
      </c>
      <c r="C62" s="8">
        <v>1215</v>
      </c>
      <c r="D62" s="6">
        <v>420.63900000000001</v>
      </c>
      <c r="E62" s="8">
        <v>511076</v>
      </c>
      <c r="F62" s="6">
        <v>250</v>
      </c>
      <c r="G62" s="6">
        <v>511076</v>
      </c>
      <c r="H62" s="8">
        <v>151.024</v>
      </c>
      <c r="I62" s="6" t="s">
        <v>35</v>
      </c>
      <c r="J62" s="6" t="s">
        <v>34</v>
      </c>
      <c r="K62" s="6" t="s">
        <v>42</v>
      </c>
      <c r="L62" s="6">
        <f t="shared" si="13"/>
        <v>37.756</v>
      </c>
      <c r="M62" s="6" t="s">
        <v>56</v>
      </c>
      <c r="N62" s="6">
        <f t="shared" si="14"/>
        <v>296759.30793297791</v>
      </c>
      <c r="O62" s="6">
        <f t="shared" si="7"/>
        <v>7859.9244605619742</v>
      </c>
    </row>
    <row r="63" spans="1:15" x14ac:dyDescent="0.2">
      <c r="A63" s="7">
        <v>7</v>
      </c>
      <c r="B63" s="6" t="s">
        <v>120</v>
      </c>
      <c r="C63" s="8">
        <v>1520</v>
      </c>
      <c r="D63" s="6">
        <v>459.31599999999997</v>
      </c>
      <c r="E63" s="8">
        <v>698160</v>
      </c>
      <c r="F63" s="6">
        <v>272</v>
      </c>
      <c r="G63" s="6">
        <v>698160</v>
      </c>
      <c r="H63" s="8">
        <v>189.82300000000001</v>
      </c>
      <c r="I63" s="6" t="s">
        <v>30</v>
      </c>
      <c r="J63" s="6" t="s">
        <v>34</v>
      </c>
      <c r="K63" s="6" t="s">
        <v>42</v>
      </c>
      <c r="L63" s="6">
        <f t="shared" si="13"/>
        <v>47.455750000000002</v>
      </c>
      <c r="M63" s="6" t="s">
        <v>56</v>
      </c>
      <c r="N63" s="6">
        <f t="shared" si="14"/>
        <v>430043.64449228515</v>
      </c>
      <c r="O63" s="6">
        <f t="shared" si="7"/>
        <v>9061.992371678567</v>
      </c>
    </row>
    <row r="64" spans="1:15" x14ac:dyDescent="0.2">
      <c r="A64" s="7">
        <v>8</v>
      </c>
      <c r="B64" s="6" t="s">
        <v>121</v>
      </c>
      <c r="C64" s="8">
        <v>1267</v>
      </c>
      <c r="D64" s="6">
        <v>173.38200000000001</v>
      </c>
      <c r="E64" s="8">
        <v>219675</v>
      </c>
      <c r="F64" s="6">
        <v>163</v>
      </c>
      <c r="G64" s="6">
        <v>219675</v>
      </c>
      <c r="H64" s="8">
        <v>157.73699999999999</v>
      </c>
      <c r="I64" s="6" t="s">
        <v>23</v>
      </c>
      <c r="J64" s="6"/>
      <c r="K64" s="6" t="s">
        <v>42</v>
      </c>
      <c r="L64" s="6">
        <f t="shared" si="13"/>
        <v>39.434249999999999</v>
      </c>
      <c r="M64" s="6" t="s">
        <v>56</v>
      </c>
      <c r="N64" s="6"/>
      <c r="O64" s="6">
        <f t="shared" si="7"/>
        <v>0</v>
      </c>
    </row>
    <row r="65" spans="1:15" x14ac:dyDescent="0.2">
      <c r="A65" s="7">
        <v>9</v>
      </c>
      <c r="B65" s="6" t="s">
        <v>122</v>
      </c>
      <c r="C65" s="8">
        <v>1343</v>
      </c>
      <c r="D65" s="6">
        <v>180.13800000000001</v>
      </c>
      <c r="E65" s="8">
        <v>241925</v>
      </c>
      <c r="F65" s="6">
        <v>169</v>
      </c>
      <c r="G65" s="6">
        <v>241925</v>
      </c>
      <c r="H65" s="8">
        <v>166.58799999999999</v>
      </c>
      <c r="I65" s="6" t="s">
        <v>23</v>
      </c>
      <c r="J65" s="6"/>
      <c r="K65" s="6" t="s">
        <v>42</v>
      </c>
      <c r="L65" s="6">
        <f t="shared" si="13"/>
        <v>41.646999999999998</v>
      </c>
      <c r="M65" s="6" t="s">
        <v>56</v>
      </c>
      <c r="N65" s="6"/>
      <c r="O65" s="6">
        <f t="shared" si="7"/>
        <v>0</v>
      </c>
    </row>
    <row r="66" spans="1:15" x14ac:dyDescent="0.2">
      <c r="A66" s="7">
        <v>10</v>
      </c>
      <c r="B66" s="6" t="s">
        <v>123</v>
      </c>
      <c r="C66" s="8">
        <v>1205</v>
      </c>
      <c r="D66" s="6">
        <v>175.65700000000001</v>
      </c>
      <c r="E66" s="8">
        <v>211667</v>
      </c>
      <c r="F66" s="6">
        <v>165</v>
      </c>
      <c r="G66" s="6">
        <v>211667</v>
      </c>
      <c r="H66" s="8">
        <v>149.65299999999999</v>
      </c>
      <c r="I66" s="6" t="s">
        <v>23</v>
      </c>
      <c r="J66" s="6"/>
      <c r="K66" s="6" t="s">
        <v>42</v>
      </c>
      <c r="L66" s="6">
        <f t="shared" si="13"/>
        <v>37.413249999999998</v>
      </c>
      <c r="M66" s="6" t="s">
        <v>56</v>
      </c>
      <c r="N66" s="6"/>
      <c r="O66" s="6">
        <f t="shared" si="7"/>
        <v>0</v>
      </c>
    </row>
    <row r="67" spans="1:15" s="4" customFormat="1" x14ac:dyDescent="0.2">
      <c r="A67" s="3">
        <v>1</v>
      </c>
      <c r="B67" s="4" t="s">
        <v>135</v>
      </c>
      <c r="C67" s="5">
        <v>1322</v>
      </c>
      <c r="D67" s="4">
        <v>486.54599999999999</v>
      </c>
      <c r="E67" s="5">
        <v>643214</v>
      </c>
      <c r="F67" s="4">
        <v>256</v>
      </c>
      <c r="G67" s="4">
        <v>643214</v>
      </c>
      <c r="H67" s="5">
        <v>163.435</v>
      </c>
      <c r="I67" s="4" t="s">
        <v>31</v>
      </c>
      <c r="J67" s="4" t="s">
        <v>34</v>
      </c>
      <c r="K67" s="4" t="s">
        <v>42</v>
      </c>
      <c r="L67" s="4">
        <f t="shared" si="13"/>
        <v>40.858750000000001</v>
      </c>
      <c r="M67" s="4" t="s">
        <v>57</v>
      </c>
      <c r="N67" s="4">
        <f>G67-(((G$75/C$75*C67)+(G$76/C$76*C67)+(G$77/C$77*C67))/3)</f>
        <v>413416.14272110525</v>
      </c>
      <c r="O67" s="4">
        <f t="shared" si="7"/>
        <v>10118.178914457863</v>
      </c>
    </row>
    <row r="68" spans="1:15" s="6" customFormat="1" x14ac:dyDescent="0.2">
      <c r="A68" s="7">
        <v>2</v>
      </c>
      <c r="B68" s="6" t="s">
        <v>136</v>
      </c>
      <c r="C68" s="8">
        <v>1156</v>
      </c>
      <c r="D68" s="6">
        <v>223.56700000000001</v>
      </c>
      <c r="E68" s="8">
        <v>258443</v>
      </c>
      <c r="F68" s="6">
        <v>187</v>
      </c>
      <c r="G68" s="6">
        <v>258443</v>
      </c>
      <c r="H68" s="8">
        <v>143.858</v>
      </c>
      <c r="I68" s="6" t="s">
        <v>32</v>
      </c>
      <c r="J68" s="6" t="s">
        <v>34</v>
      </c>
      <c r="K68" s="6" t="s">
        <v>42</v>
      </c>
      <c r="L68" s="6">
        <f t="shared" si="13"/>
        <v>35.964500000000001</v>
      </c>
      <c r="M68" s="6" t="s">
        <v>57</v>
      </c>
      <c r="N68" s="6">
        <f>G68-(((G$75/C$75*C68)+(G$76/C$76*C68)+(G$77/C$77*C68))/3)</f>
        <v>57500.24431588329</v>
      </c>
      <c r="O68" s="6">
        <f t="shared" si="7"/>
        <v>1598.8056087498308</v>
      </c>
    </row>
    <row r="69" spans="1:15" s="6" customFormat="1" x14ac:dyDescent="0.2">
      <c r="A69" s="7">
        <v>3</v>
      </c>
      <c r="B69" s="6" t="s">
        <v>137</v>
      </c>
      <c r="C69" s="8">
        <v>1316</v>
      </c>
      <c r="D69" s="6">
        <v>581.54899999999998</v>
      </c>
      <c r="E69" s="8">
        <v>765319</v>
      </c>
      <c r="F69" s="6">
        <v>333</v>
      </c>
      <c r="G69" s="6">
        <v>765319</v>
      </c>
      <c r="H69" s="8">
        <v>163.06399999999999</v>
      </c>
      <c r="I69" s="6" t="s">
        <v>38</v>
      </c>
      <c r="J69" s="6" t="s">
        <v>34</v>
      </c>
      <c r="K69" s="6" t="s">
        <v>42</v>
      </c>
      <c r="L69" s="6">
        <f t="shared" si="13"/>
        <v>40.765999999999998</v>
      </c>
      <c r="M69" s="6" t="s">
        <v>57</v>
      </c>
      <c r="N69" s="6">
        <f t="shared" ref="N69" si="15">G69-(((G$75/C$75*C69)+(G$76/C$76*C69)+(G$77/C$77*C69))/3)</f>
        <v>536564.09820043459</v>
      </c>
      <c r="O69" s="6">
        <f t="shared" si="7"/>
        <v>13162.049212589771</v>
      </c>
    </row>
    <row r="70" spans="1:15" s="6" customFormat="1" x14ac:dyDescent="0.2">
      <c r="A70" s="7">
        <v>4</v>
      </c>
      <c r="B70" s="6" t="s">
        <v>138</v>
      </c>
      <c r="C70" s="8">
        <v>1795</v>
      </c>
      <c r="D70" s="6">
        <v>652.94799999999998</v>
      </c>
      <c r="E70" s="8">
        <v>1172041</v>
      </c>
      <c r="F70" s="6">
        <v>329</v>
      </c>
      <c r="G70" s="6">
        <v>1172041</v>
      </c>
      <c r="H70" s="8">
        <v>223.06100000000001</v>
      </c>
      <c r="I70" s="6" t="s">
        <v>33</v>
      </c>
      <c r="J70" s="6" t="s">
        <v>34</v>
      </c>
      <c r="K70" s="6" t="s">
        <v>42</v>
      </c>
      <c r="L70" s="6">
        <f t="shared" si="13"/>
        <v>55.765250000000002</v>
      </c>
      <c r="M70" s="6" t="s">
        <v>57</v>
      </c>
      <c r="N70" s="6">
        <f>G70-(((G$75/C$75*C70)+(G$76/C$76*C70)+(G$77/C$77*C70))/3)</f>
        <v>860023.48576731025</v>
      </c>
      <c r="O70" s="6">
        <f t="shared" si="7"/>
        <v>15422.211606104343</v>
      </c>
    </row>
    <row r="71" spans="1:15" s="6" customFormat="1" x14ac:dyDescent="0.2">
      <c r="A71" s="7">
        <v>5</v>
      </c>
      <c r="B71" s="6" t="s">
        <v>139</v>
      </c>
      <c r="C71" s="8">
        <v>1302</v>
      </c>
      <c r="D71" s="6">
        <v>557.11199999999997</v>
      </c>
      <c r="E71" s="8">
        <v>725360</v>
      </c>
      <c r="F71" s="6">
        <v>303</v>
      </c>
      <c r="G71" s="6">
        <v>725360</v>
      </c>
      <c r="H71" s="8">
        <v>161.90600000000001</v>
      </c>
      <c r="I71" s="6" t="s">
        <v>43</v>
      </c>
      <c r="J71" s="6" t="s">
        <v>34</v>
      </c>
      <c r="K71" s="6" t="s">
        <v>42</v>
      </c>
      <c r="L71" s="6">
        <f t="shared" si="13"/>
        <v>40.476500000000001</v>
      </c>
      <c r="M71" s="6" t="s">
        <v>57</v>
      </c>
      <c r="N71" s="6">
        <f>G71-(((G$75/C$75*C71)+(G$76/C$76*C71)+(G$77/C$77*C71))/3)</f>
        <v>499038.66098553641</v>
      </c>
      <c r="O71" s="6">
        <f t="shared" si="7"/>
        <v>12329.096166554331</v>
      </c>
    </row>
    <row r="72" spans="1:15" s="6" customFormat="1" x14ac:dyDescent="0.2">
      <c r="A72" s="7">
        <v>6</v>
      </c>
      <c r="B72" s="6" t="s">
        <v>140</v>
      </c>
      <c r="C72" s="8">
        <v>1545</v>
      </c>
      <c r="D72" s="6">
        <v>749.71600000000001</v>
      </c>
      <c r="E72" s="8">
        <v>1158311</v>
      </c>
      <c r="F72" s="6">
        <v>292</v>
      </c>
      <c r="G72" s="6">
        <v>1158311</v>
      </c>
      <c r="H72" s="8">
        <v>193.13399999999999</v>
      </c>
      <c r="I72" s="6" t="s">
        <v>44</v>
      </c>
      <c r="J72" s="6" t="s">
        <v>34</v>
      </c>
      <c r="K72" s="6" t="s">
        <v>42</v>
      </c>
      <c r="L72" s="6">
        <f t="shared" ref="L72:L74" si="16">H72/4</f>
        <v>48.283499999999997</v>
      </c>
      <c r="M72" s="6" t="s">
        <v>57</v>
      </c>
      <c r="N72" s="6">
        <f t="shared" ref="N72:N74" si="17">G72-(((G$75/C$75*C72)+(G$76/C$76*C72)+(G$77/C$77*C72))/3)</f>
        <v>889749.96407269873</v>
      </c>
      <c r="O72" s="6">
        <f t="shared" ref="O72:O74" si="18">N72/L72</f>
        <v>18427.61945742746</v>
      </c>
    </row>
    <row r="73" spans="1:15" s="6" customFormat="1" x14ac:dyDescent="0.2">
      <c r="A73" s="7">
        <v>7</v>
      </c>
      <c r="B73" s="6" t="s">
        <v>141</v>
      </c>
      <c r="C73" s="8">
        <v>966</v>
      </c>
      <c r="D73" s="6">
        <v>175.124</v>
      </c>
      <c r="E73" s="8">
        <v>169170</v>
      </c>
      <c r="F73" s="6">
        <v>164</v>
      </c>
      <c r="G73" s="6">
        <v>169170</v>
      </c>
      <c r="H73" s="8">
        <v>119.72499999999999</v>
      </c>
      <c r="I73" s="6" t="s">
        <v>45</v>
      </c>
      <c r="J73" s="6" t="s">
        <v>34</v>
      </c>
      <c r="K73" s="6" t="s">
        <v>42</v>
      </c>
      <c r="L73" s="6">
        <f t="shared" si="16"/>
        <v>29.931249999999999</v>
      </c>
      <c r="M73" s="6" t="s">
        <v>57</v>
      </c>
      <c r="N73" s="6">
        <f t="shared" si="17"/>
        <v>1254.1678279786138</v>
      </c>
      <c r="O73" s="6">
        <f t="shared" si="18"/>
        <v>41.901618809057886</v>
      </c>
    </row>
    <row r="74" spans="1:15" s="6" customFormat="1" x14ac:dyDescent="0.2">
      <c r="A74" s="7">
        <v>8</v>
      </c>
      <c r="B74" s="6" t="s">
        <v>142</v>
      </c>
      <c r="C74" s="8">
        <v>1126</v>
      </c>
      <c r="D74" s="6">
        <v>296.55700000000002</v>
      </c>
      <c r="E74" s="8">
        <v>333923</v>
      </c>
      <c r="F74" s="6">
        <v>224</v>
      </c>
      <c r="G74" s="6">
        <v>333923</v>
      </c>
      <c r="H74" s="8">
        <v>139.733</v>
      </c>
      <c r="I74" s="6" t="s">
        <v>46</v>
      </c>
      <c r="J74" s="6" t="s">
        <v>34</v>
      </c>
      <c r="K74" s="6" t="s">
        <v>42</v>
      </c>
      <c r="L74" s="6">
        <f t="shared" si="16"/>
        <v>34.933250000000001</v>
      </c>
      <c r="M74" s="6" t="s">
        <v>57</v>
      </c>
      <c r="N74" s="6">
        <f t="shared" si="17"/>
        <v>138195.02171252994</v>
      </c>
      <c r="O74" s="6">
        <f t="shared" si="18"/>
        <v>3955.9737989603009</v>
      </c>
    </row>
    <row r="75" spans="1:15" s="6" customFormat="1" x14ac:dyDescent="0.2">
      <c r="A75" s="7">
        <v>9</v>
      </c>
      <c r="B75" s="6" t="s">
        <v>143</v>
      </c>
      <c r="C75" s="8">
        <v>1314</v>
      </c>
      <c r="D75" s="6">
        <v>172.732</v>
      </c>
      <c r="E75" s="8">
        <v>226970</v>
      </c>
      <c r="F75" s="6">
        <v>161</v>
      </c>
      <c r="G75" s="6">
        <v>226970</v>
      </c>
      <c r="H75" s="8">
        <v>164.001</v>
      </c>
      <c r="I75" s="6" t="s">
        <v>23</v>
      </c>
      <c r="K75" s="6" t="s">
        <v>42</v>
      </c>
      <c r="L75" s="6">
        <f t="shared" si="13"/>
        <v>41.000250000000001</v>
      </c>
      <c r="M75" s="6" t="s">
        <v>57</v>
      </c>
      <c r="O75" s="6">
        <f t="shared" si="7"/>
        <v>0</v>
      </c>
    </row>
    <row r="76" spans="1:15" s="6" customFormat="1" x14ac:dyDescent="0.2">
      <c r="A76" s="7">
        <v>10</v>
      </c>
      <c r="B76" s="6" t="s">
        <v>144</v>
      </c>
      <c r="C76" s="8">
        <v>1249</v>
      </c>
      <c r="D76" s="6">
        <v>176.11500000000001</v>
      </c>
      <c r="E76" s="8">
        <v>219968</v>
      </c>
      <c r="F76" s="6">
        <v>166</v>
      </c>
      <c r="G76" s="6">
        <v>219968</v>
      </c>
      <c r="H76" s="8">
        <v>154.75899999999999</v>
      </c>
      <c r="I76" s="6" t="s">
        <v>23</v>
      </c>
      <c r="K76" s="6" t="s">
        <v>42</v>
      </c>
      <c r="L76" s="6">
        <f t="shared" si="13"/>
        <v>38.689749999999997</v>
      </c>
      <c r="M76" s="6" t="s">
        <v>57</v>
      </c>
      <c r="O76" s="6">
        <f t="shared" si="7"/>
        <v>0</v>
      </c>
    </row>
    <row r="77" spans="1:15" s="10" customFormat="1" x14ac:dyDescent="0.2">
      <c r="A77" s="9">
        <v>11</v>
      </c>
      <c r="B77" s="10" t="s">
        <v>145</v>
      </c>
      <c r="C77" s="11">
        <v>1266</v>
      </c>
      <c r="D77" s="10">
        <v>172.63</v>
      </c>
      <c r="E77" s="11">
        <v>218550</v>
      </c>
      <c r="F77" s="10">
        <v>163</v>
      </c>
      <c r="G77" s="10">
        <v>218550</v>
      </c>
      <c r="H77" s="11">
        <v>157.18700000000001</v>
      </c>
      <c r="I77" s="10" t="s">
        <v>23</v>
      </c>
      <c r="K77" s="10" t="s">
        <v>42</v>
      </c>
      <c r="L77" s="10">
        <f t="shared" si="13"/>
        <v>39.296750000000003</v>
      </c>
      <c r="M77" s="10" t="s">
        <v>57</v>
      </c>
      <c r="O77" s="10">
        <f t="shared" si="7"/>
        <v>0</v>
      </c>
    </row>
    <row r="78" spans="1:15" x14ac:dyDescent="0.2">
      <c r="A78" s="7">
        <v>1</v>
      </c>
      <c r="B78" s="6" t="s">
        <v>124</v>
      </c>
      <c r="C78" s="8">
        <v>1231</v>
      </c>
      <c r="D78" s="6">
        <v>243.85499999999999</v>
      </c>
      <c r="E78" s="8">
        <v>300186</v>
      </c>
      <c r="F78" s="6">
        <v>204</v>
      </c>
      <c r="G78" s="6">
        <v>300186</v>
      </c>
      <c r="H78" s="8">
        <v>153.102</v>
      </c>
      <c r="I78" s="7" t="s">
        <v>47</v>
      </c>
      <c r="J78" s="6" t="s">
        <v>34</v>
      </c>
      <c r="K78" s="6" t="s">
        <v>42</v>
      </c>
      <c r="L78" s="6">
        <f>H78/4</f>
        <v>38.275500000000001</v>
      </c>
      <c r="M78" s="6" t="s">
        <v>58</v>
      </c>
      <c r="N78" s="6">
        <f t="shared" ref="N78:N85" si="19">G78-(((G$86/C$86*C78)+(G$87/C$87*C78)+(G$88/C$88*C78))/3)</f>
        <v>76605.014422195469</v>
      </c>
      <c r="O78" s="6">
        <f t="shared" si="7"/>
        <v>2001.4112009561068</v>
      </c>
    </row>
    <row r="79" spans="1:15" x14ac:dyDescent="0.2">
      <c r="A79" s="7">
        <v>2</v>
      </c>
      <c r="B79" s="6" t="s">
        <v>125</v>
      </c>
      <c r="C79" s="8">
        <v>1422</v>
      </c>
      <c r="D79" s="6">
        <v>507.17899999999997</v>
      </c>
      <c r="E79" s="8">
        <v>721209</v>
      </c>
      <c r="F79" s="6">
        <v>265</v>
      </c>
      <c r="G79" s="6">
        <v>721209</v>
      </c>
      <c r="H79" s="8">
        <v>176.27600000000001</v>
      </c>
      <c r="I79" s="7" t="s">
        <v>48</v>
      </c>
      <c r="J79" s="6" t="s">
        <v>34</v>
      </c>
      <c r="K79" s="6" t="s">
        <v>42</v>
      </c>
      <c r="L79" s="6">
        <f>H79/4</f>
        <v>44.069000000000003</v>
      </c>
      <c r="M79" s="6" t="s">
        <v>58</v>
      </c>
      <c r="N79" s="6">
        <f t="shared" si="19"/>
        <v>462937.54468591546</v>
      </c>
      <c r="O79" s="6">
        <f t="shared" si="7"/>
        <v>10504.834343550237</v>
      </c>
    </row>
    <row r="80" spans="1:15" x14ac:dyDescent="0.2">
      <c r="A80" s="7">
        <v>3</v>
      </c>
      <c r="B80" s="6" t="s">
        <v>126</v>
      </c>
      <c r="C80" s="8">
        <v>1504</v>
      </c>
      <c r="D80" s="6">
        <v>665.69100000000003</v>
      </c>
      <c r="E80" s="8">
        <v>1001199</v>
      </c>
      <c r="F80" s="6">
        <v>364</v>
      </c>
      <c r="G80" s="6">
        <v>1001199</v>
      </c>
      <c r="H80" s="8">
        <v>187.82599999999999</v>
      </c>
      <c r="I80" s="7" t="s">
        <v>49</v>
      </c>
      <c r="J80" s="6" t="s">
        <v>34</v>
      </c>
      <c r="K80" s="6" t="s">
        <v>42</v>
      </c>
      <c r="L80" s="6">
        <f>H80/4</f>
        <v>46.956499999999998</v>
      </c>
      <c r="M80" s="6" t="s">
        <v>58</v>
      </c>
      <c r="N80" s="6">
        <f t="shared" si="19"/>
        <v>728034.25401379517</v>
      </c>
      <c r="O80" s="6">
        <f t="shared" si="7"/>
        <v>15504.440365312474</v>
      </c>
    </row>
    <row r="81" spans="1:15" x14ac:dyDescent="0.2">
      <c r="A81" s="7">
        <v>4</v>
      </c>
      <c r="B81" s="6" t="s">
        <v>127</v>
      </c>
      <c r="C81" s="8">
        <v>1424</v>
      </c>
      <c r="D81" s="6">
        <v>894.46299999999997</v>
      </c>
      <c r="E81" s="8">
        <v>1273716</v>
      </c>
      <c r="F81" s="6">
        <v>442</v>
      </c>
      <c r="G81" s="6">
        <v>1273716</v>
      </c>
      <c r="H81" s="8">
        <v>177.32300000000001</v>
      </c>
      <c r="I81" s="7" t="s">
        <v>50</v>
      </c>
      <c r="J81" s="6" t="s">
        <v>34</v>
      </c>
      <c r="K81" s="6" t="s">
        <v>42</v>
      </c>
      <c r="L81" s="6">
        <f t="shared" ref="L81:L88" si="20">H81/4</f>
        <v>44.330750000000002</v>
      </c>
      <c r="M81" s="6" t="s">
        <v>58</v>
      </c>
      <c r="N81" s="6">
        <f t="shared" si="19"/>
        <v>1015081.2936939126</v>
      </c>
      <c r="O81" s="6">
        <f t="shared" si="7"/>
        <v>22897.904810857308</v>
      </c>
    </row>
    <row r="82" spans="1:15" x14ac:dyDescent="0.2">
      <c r="A82" s="7">
        <v>5</v>
      </c>
      <c r="B82" s="6" t="s">
        <v>128</v>
      </c>
      <c r="C82" s="8">
        <v>1303</v>
      </c>
      <c r="D82" s="6">
        <v>1030.933</v>
      </c>
      <c r="E82" s="8">
        <v>1343306</v>
      </c>
      <c r="F82" s="6">
        <v>482</v>
      </c>
      <c r="G82" s="6">
        <v>1343306</v>
      </c>
      <c r="H82" s="8">
        <v>162.297</v>
      </c>
      <c r="I82" s="7" t="s">
        <v>51</v>
      </c>
      <c r="J82" s="6" t="s">
        <v>34</v>
      </c>
      <c r="K82" s="6" t="s">
        <v>42</v>
      </c>
      <c r="L82" s="6">
        <f t="shared" si="20"/>
        <v>40.574249999999999</v>
      </c>
      <c r="M82" s="6" t="s">
        <v>58</v>
      </c>
      <c r="N82" s="6">
        <f t="shared" si="19"/>
        <v>1106647.9787100898</v>
      </c>
      <c r="O82" s="6">
        <f t="shared" si="7"/>
        <v>27274.637946729512</v>
      </c>
    </row>
    <row r="83" spans="1:15" x14ac:dyDescent="0.2">
      <c r="A83" s="7">
        <v>6</v>
      </c>
      <c r="B83" s="6" t="s">
        <v>129</v>
      </c>
      <c r="C83" s="8">
        <v>1345</v>
      </c>
      <c r="D83" s="6">
        <v>291.12799999999999</v>
      </c>
      <c r="E83" s="8">
        <v>391567</v>
      </c>
      <c r="F83" s="6">
        <v>221</v>
      </c>
      <c r="G83" s="6">
        <v>391567</v>
      </c>
      <c r="H83" s="8">
        <v>167.05500000000001</v>
      </c>
      <c r="I83" s="7" t="s">
        <v>52</v>
      </c>
      <c r="J83" s="6" t="s">
        <v>34</v>
      </c>
      <c r="K83" s="6" t="s">
        <v>42</v>
      </c>
      <c r="L83" s="6">
        <f t="shared" si="20"/>
        <v>41.763750000000002</v>
      </c>
      <c r="M83" s="6" t="s">
        <v>58</v>
      </c>
      <c r="N83" s="6">
        <f t="shared" si="19"/>
        <v>147280.70787802836</v>
      </c>
      <c r="O83" s="6">
        <f t="shared" si="7"/>
        <v>3526.5201970136386</v>
      </c>
    </row>
    <row r="84" spans="1:15" x14ac:dyDescent="0.2">
      <c r="A84" s="7">
        <v>7</v>
      </c>
      <c r="B84" s="6" t="s">
        <v>130</v>
      </c>
      <c r="C84" s="8">
        <v>1428</v>
      </c>
      <c r="D84" s="6">
        <v>575.14499999999998</v>
      </c>
      <c r="E84" s="8">
        <v>821307</v>
      </c>
      <c r="F84" s="6">
        <v>289</v>
      </c>
      <c r="G84" s="6">
        <v>821307</v>
      </c>
      <c r="H84" s="8">
        <v>177.80500000000001</v>
      </c>
      <c r="I84" s="7" t="s">
        <v>53</v>
      </c>
      <c r="J84" s="6" t="s">
        <v>34</v>
      </c>
      <c r="K84" s="6" t="s">
        <v>42</v>
      </c>
      <c r="L84" s="6">
        <f t="shared" si="20"/>
        <v>44.451250000000002</v>
      </c>
      <c r="M84" s="6" t="s">
        <v>58</v>
      </c>
      <c r="N84" s="6">
        <f t="shared" si="19"/>
        <v>561945.79170990665</v>
      </c>
      <c r="O84" s="6">
        <f t="shared" si="7"/>
        <v>12641.844531029086</v>
      </c>
    </row>
    <row r="85" spans="1:15" x14ac:dyDescent="0.2">
      <c r="A85" s="7">
        <v>8</v>
      </c>
      <c r="B85" s="6" t="s">
        <v>131</v>
      </c>
      <c r="C85" s="8">
        <v>1433</v>
      </c>
      <c r="D85" s="6">
        <v>418.86200000000002</v>
      </c>
      <c r="E85" s="8">
        <v>600229</v>
      </c>
      <c r="F85" s="6">
        <v>258</v>
      </c>
      <c r="G85" s="6">
        <v>600229</v>
      </c>
      <c r="H85" s="8">
        <v>178.14400000000001</v>
      </c>
      <c r="I85" s="7" t="s">
        <v>54</v>
      </c>
      <c r="J85" s="6" t="s">
        <v>34</v>
      </c>
      <c r="K85" s="6" t="s">
        <v>42</v>
      </c>
      <c r="L85" s="6">
        <f t="shared" si="20"/>
        <v>44.536000000000001</v>
      </c>
      <c r="M85" s="6" t="s">
        <v>58</v>
      </c>
      <c r="N85" s="6">
        <f t="shared" si="19"/>
        <v>339959.6642298993</v>
      </c>
      <c r="O85" s="6">
        <f t="shared" si="7"/>
        <v>7633.3677076948825</v>
      </c>
    </row>
    <row r="86" spans="1:15" x14ac:dyDescent="0.2">
      <c r="A86" s="7">
        <v>9</v>
      </c>
      <c r="B86" s="6" t="s">
        <v>132</v>
      </c>
      <c r="C86" s="8">
        <v>1324</v>
      </c>
      <c r="D86" s="6">
        <v>178.119</v>
      </c>
      <c r="E86" s="8">
        <v>235829</v>
      </c>
      <c r="F86" s="6">
        <v>167</v>
      </c>
      <c r="G86" s="6">
        <v>235829</v>
      </c>
      <c r="H86" s="8">
        <v>164.62700000000001</v>
      </c>
      <c r="I86" s="7" t="s">
        <v>23</v>
      </c>
      <c r="J86" s="6"/>
      <c r="K86" s="6" t="s">
        <v>42</v>
      </c>
      <c r="L86" s="6">
        <f t="shared" si="20"/>
        <v>41.156750000000002</v>
      </c>
      <c r="M86" s="6" t="s">
        <v>58</v>
      </c>
      <c r="N86" s="6"/>
      <c r="O86" s="6">
        <f t="shared" si="7"/>
        <v>0</v>
      </c>
    </row>
    <row r="87" spans="1:15" x14ac:dyDescent="0.2">
      <c r="A87" s="7">
        <v>10</v>
      </c>
      <c r="B87" s="6" t="s">
        <v>133</v>
      </c>
      <c r="C87" s="8">
        <v>1105</v>
      </c>
      <c r="D87" s="6">
        <v>178.91300000000001</v>
      </c>
      <c r="E87" s="8">
        <v>197699</v>
      </c>
      <c r="F87" s="6">
        <v>171</v>
      </c>
      <c r="G87" s="6">
        <v>197699</v>
      </c>
      <c r="H87" s="8">
        <v>137.51599999999999</v>
      </c>
      <c r="I87" s="7" t="s">
        <v>23</v>
      </c>
      <c r="J87" s="6"/>
      <c r="K87" s="6" t="s">
        <v>42</v>
      </c>
      <c r="L87" s="6">
        <f t="shared" si="20"/>
        <v>34.378999999999998</v>
      </c>
      <c r="M87" s="6" t="s">
        <v>58</v>
      </c>
      <c r="N87" s="6"/>
      <c r="O87" s="6">
        <f t="shared" si="7"/>
        <v>0</v>
      </c>
    </row>
    <row r="88" spans="1:15" x14ac:dyDescent="0.2">
      <c r="A88" s="9">
        <v>11</v>
      </c>
      <c r="B88" s="10" t="s">
        <v>134</v>
      </c>
      <c r="C88" s="11">
        <v>1237</v>
      </c>
      <c r="D88" s="10">
        <v>187.845</v>
      </c>
      <c r="E88" s="11">
        <v>232364</v>
      </c>
      <c r="F88" s="10">
        <v>178</v>
      </c>
      <c r="G88" s="10">
        <v>232364</v>
      </c>
      <c r="H88" s="11">
        <v>153.55799999999999</v>
      </c>
      <c r="I88" s="9" t="s">
        <v>23</v>
      </c>
      <c r="J88" s="10"/>
      <c r="K88" s="6" t="s">
        <v>42</v>
      </c>
      <c r="L88" s="10">
        <f t="shared" si="20"/>
        <v>38.389499999999998</v>
      </c>
      <c r="M88" s="10" t="s">
        <v>58</v>
      </c>
      <c r="N88" s="10"/>
      <c r="O88" s="6">
        <f t="shared" si="7"/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2025-04-03T10:54:41Z</dcterms:modified>
</cp:coreProperties>
</file>