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 filterPrivacy="1"/>
  <xr:revisionPtr revIDLastSave="0" documentId="13_ncr:1_{ACEB0CB1-DD72-4B4B-A7C4-B4D8CD5A0BC0}" xr6:coauthVersionLast="36" xr6:coauthVersionMax="36" xr10:uidLastSave="{00000000-0000-0000-0000-000000000000}"/>
  <bookViews>
    <workbookView xWindow="39560" yWindow="2860" windowWidth="27340" windowHeight="1732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4" i="1" l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N41" i="1" l="1"/>
  <c r="O41" i="1" s="1"/>
  <c r="N8" i="1"/>
  <c r="N38" i="1"/>
  <c r="N37" i="1"/>
  <c r="N36" i="1"/>
  <c r="N35" i="1"/>
  <c r="N25" i="1"/>
  <c r="N26" i="1"/>
  <c r="N27" i="1"/>
  <c r="N28" i="1"/>
  <c r="N29" i="1"/>
  <c r="N30" i="1"/>
  <c r="N13" i="1"/>
  <c r="O13" i="1" s="1"/>
  <c r="N14" i="1"/>
  <c r="O14" i="1" s="1"/>
  <c r="N15" i="1"/>
  <c r="O15" i="1" s="1"/>
  <c r="N16" i="1"/>
  <c r="O16" i="1" s="1"/>
  <c r="N17" i="1"/>
  <c r="N18" i="1"/>
  <c r="O18" i="1" s="1"/>
  <c r="N19" i="1"/>
  <c r="N12" i="1"/>
  <c r="N4" i="1"/>
  <c r="N5" i="1"/>
  <c r="N6" i="1"/>
  <c r="N7" i="1"/>
  <c r="O19" i="1" l="1"/>
  <c r="O8" i="1"/>
  <c r="O6" i="1"/>
  <c r="O17" i="1"/>
  <c r="O7" i="1"/>
  <c r="O4" i="1"/>
  <c r="O5" i="1"/>
  <c r="O26" i="1"/>
  <c r="O27" i="1"/>
  <c r="O29" i="1"/>
  <c r="O25" i="1"/>
  <c r="O28" i="1"/>
  <c r="N23" i="1" l="1"/>
  <c r="N40" i="1"/>
  <c r="O9" i="1"/>
  <c r="O10" i="1"/>
  <c r="O11" i="1"/>
  <c r="O23" i="1" l="1"/>
  <c r="O35" i="1"/>
  <c r="N2" i="1"/>
  <c r="N39" i="1" l="1"/>
  <c r="N34" i="1"/>
  <c r="N24" i="1"/>
  <c r="N3" i="1"/>
  <c r="O2" i="1"/>
  <c r="O20" i="1"/>
  <c r="O21" i="1"/>
  <c r="O22" i="1"/>
  <c r="O30" i="1"/>
  <c r="O31" i="1"/>
  <c r="O32" i="1"/>
  <c r="O33" i="1"/>
  <c r="O42" i="1"/>
  <c r="O43" i="1"/>
  <c r="O44" i="1"/>
  <c r="O24" i="1" l="1"/>
  <c r="O3" i="1"/>
  <c r="O12" i="1"/>
  <c r="O37" i="1"/>
  <c r="O38" i="1"/>
  <c r="O34" i="1"/>
  <c r="O36" i="1"/>
  <c r="O39" i="1"/>
  <c r="O40" i="1"/>
</calcChain>
</file>

<file path=xl/sharedStrings.xml><?xml version="1.0" encoding="utf-8"?>
<sst xmlns="http://schemas.openxmlformats.org/spreadsheetml/2006/main" count="218" uniqueCount="96">
  <si>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</si>
  <si>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</si>
  <si>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</si>
  <si>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</si>
  <si>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</si>
  <si>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</si>
  <si>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</si>
  <si>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</si>
  <si>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</si>
  <si>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</si>
  <si>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</si>
  <si>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</si>
  <si>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</si>
  <si>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</si>
  <si>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number</t>
  </si>
  <si>
    <t>plate9</t>
  </si>
  <si>
    <t>plate10</t>
  </si>
  <si>
    <t>plate11</t>
  </si>
  <si>
    <t>plate12</t>
  </si>
  <si>
    <t>1mM</t>
  </si>
  <si>
    <t>background</t>
  </si>
  <si>
    <t>seedling65</t>
  </si>
  <si>
    <t>pNRT2.1:LUC</t>
  </si>
  <si>
    <t>seedling67</t>
  </si>
  <si>
    <t>seedling68</t>
  </si>
  <si>
    <t>seedling69</t>
  </si>
  <si>
    <t>seedling70</t>
  </si>
  <si>
    <t>seedling71</t>
  </si>
  <si>
    <t>seedling72</t>
  </si>
  <si>
    <t>seedling73</t>
  </si>
  <si>
    <t>seedling74</t>
  </si>
  <si>
    <t>seedling75</t>
  </si>
  <si>
    <t>seedling76</t>
  </si>
  <si>
    <t>seedling77</t>
  </si>
  <si>
    <t>seedling78</t>
  </si>
  <si>
    <t>seedling79</t>
  </si>
  <si>
    <t>seedling80</t>
  </si>
  <si>
    <t>seedling81</t>
  </si>
  <si>
    <t>seedling82</t>
  </si>
  <si>
    <t>seedling83</t>
  </si>
  <si>
    <t>seedling84</t>
  </si>
  <si>
    <t>seedling85</t>
  </si>
  <si>
    <t>seedling86</t>
  </si>
  <si>
    <t>seedling87</t>
  </si>
  <si>
    <t>seedling88</t>
  </si>
  <si>
    <t>seedling89</t>
  </si>
  <si>
    <t>seedling90</t>
  </si>
  <si>
    <t>seedling91</t>
  </si>
  <si>
    <t>seedling92</t>
  </si>
  <si>
    <t>seedling93</t>
  </si>
  <si>
    <t>seedling94</t>
  </si>
  <si>
    <t>seedling95</t>
  </si>
  <si>
    <t>seedling96</t>
  </si>
  <si>
    <t>20220607_pNRT2.1LUC_1mM_N9_luc.tif:0159-0048</t>
  </si>
  <si>
    <t>20220607_pNRT2.1LUC_1mM_N9_luc.tif:0138-0155</t>
  </si>
  <si>
    <t>20220607_pNRT2.1LUC_1mM_N9_luc.tif:0153-0211</t>
  </si>
  <si>
    <t>20220607_pNRT2.1LUC_1mM_N9_luc.tif:0158-0266</t>
  </si>
  <si>
    <t>20220607_pNRT2.1LUC_1mM_N9_luc.tif:0163-0325</t>
  </si>
  <si>
    <t>20220607_pNRT2.1LUC_1mM_N9_luc.tif:0180-0375</t>
  </si>
  <si>
    <t>20220607_pNRT2.1LUC_1mM_N9_luc.tif:0178-0422</t>
  </si>
  <si>
    <t>20220607_pNRT2.1LUC_1mM_N9_luc.tif:0324-0113</t>
  </si>
  <si>
    <t>20220607_pNRT2.1LUC_1mM_N9_luc.tif:0397-0316</t>
  </si>
  <si>
    <t>20220607_pNRT2.1LUC_1mM_N9_luc.tif:0395-0456</t>
  </si>
  <si>
    <t>20220607_pNRT2.1LUC_1mM_N10_luc.tif:0175-0056</t>
  </si>
  <si>
    <t>20220607_pNRT2.1LUC_1mM_N10_luc.tif:0173-0106</t>
  </si>
  <si>
    <t>20220607_pNRT2.1LUC_1mM_N10_luc.tif:0149-0161</t>
  </si>
  <si>
    <t>20220607_pNRT2.1LUC_1mM_N10_luc.tif:0185-0223</t>
  </si>
  <si>
    <t>20220607_pNRT2.1LUC_1mM_N10_luc.tif:0158-0274</t>
  </si>
  <si>
    <t>20220607_pNRT2.1LUC_1mM_N10_luc.tif:0166-0335</t>
  </si>
  <si>
    <t>20220607_pNRT2.1LUC_1mM_N10_luc.tif:0162-0389</t>
  </si>
  <si>
    <t>20220607_pNRT2.1LUC_1mM_N10_luc.tif:0167-0414</t>
  </si>
  <si>
    <t>20220607_pNRT2.1LUC_1mM_N10_luc.tif:0387-0452</t>
  </si>
  <si>
    <t>20220607_pNRT2.1LUC_1mM_N10_luc.tif:0403-0264</t>
  </si>
  <si>
    <t>20220607_pNRT2.1LUC_1mM_N10_luc.tif:0407-0099</t>
  </si>
  <si>
    <t>20220607_pNRT2.1LUC_1mM_N11_luc.tif:0134-0062</t>
  </si>
  <si>
    <t>20220607_pNRT2.1LUC_1mM_N11_luc.tif:0137-0113</t>
  </si>
  <si>
    <t>20220607_pNRT2.1LUC_1mM_N11_luc.tif:0153-0165</t>
  </si>
  <si>
    <t>20220607_pNRT2.1LUC_1mM_N11_luc.tif:0148-0213</t>
  </si>
  <si>
    <t>20220607_pNRT2.1LUC_1mM_N11_luc.tif:0169-0273</t>
  </si>
  <si>
    <t>20220607_pNRT2.1LUC_1mM_N11_luc.tif:0176-0318</t>
  </si>
  <si>
    <t>20220607_pNRT2.1LUC_1mM_N11_luc.tif:0162-0395</t>
  </si>
  <si>
    <t>20220607_pNRT2.1LUC_1mM_N11_luc.tif:0166-0433</t>
  </si>
  <si>
    <t>20220607_pNRT2.1LUC_1mM_N11_luc.tif:0405-0441</t>
  </si>
  <si>
    <t>20220607_pNRT2.1LUC_1mM_N11_luc.tif:0399-0096</t>
  </si>
  <si>
    <t>20220607_pNRT2.1LUC_1mM_N11_luc.tif:0405-0301</t>
  </si>
  <si>
    <t>20220607_pNRT2.1LUC_1mM_N12_luc.tif:0177-0076</t>
  </si>
  <si>
    <t>20220607_pNRT2.1LUC_1mM_N12_luc.tif:0177-0127</t>
  </si>
  <si>
    <t>20220607_pNRT2.1LUC_1mM_N12_luc.tif:0169-0180</t>
  </si>
  <si>
    <t>20220607_pNRT2.1LUC_1mM_N12_luc.tif:0172-0235</t>
  </si>
  <si>
    <t>20220607_pNRT2.1LUC_1mM_N12_luc.tif:0175-0294</t>
  </si>
  <si>
    <t>20220607_pNRT2.1LUC_1mM_N12_luc.tif:0183-0349</t>
  </si>
  <si>
    <t>20220607_pNRT2.1LUC_1mM_N12_luc.tif:0146-0400</t>
  </si>
  <si>
    <t>20220607_pNRT2.1LUC_1mM_N12_luc.tif:0186-0454</t>
  </si>
  <si>
    <t>20220607_pNRT2.1LUC_1mM_N12_luc.tif:0388-0407</t>
  </si>
  <si>
    <t>20220607_pNRT2.1LUC_1mM_N12_luc.tif:0407-0236</t>
  </si>
  <si>
    <t>20220607_pNRT2.1LUC_1mM_N12_luc.tif:0394-0053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</si>
</sst>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zoomScale="80" zoomScaleNormal="80" workbookViewId="0">
      <selection activeCell="I38" sqref="I38"/>
    </sheetView>
  </sheetViews>
  <sheetFormatPr baseColWidth="10" defaultColWidth="9.1640625" defaultRowHeight="15" x14ac:dyDescent="0.2"/>
  <cols>
    <col min="2" max="2" width="13.33203125" customWidth="1"/>
    <col min="7" max="7" width="13.5" customWidth="1"/>
    <col min="8" max="8" width="11.83203125" customWidth="1"/>
    <col min="9" max="9" width="13.6640625" customWidth="1"/>
    <col min="10" max="10" width="19" customWidth="1"/>
    <col min="11" max="11" width="11.5" customWidth="1"/>
    <col min="12" max="12" width="14.33203125" customWidth="1"/>
    <col min="13" max="13" width="21.1640625" customWidth="1"/>
    <col min="14" max="14" width="23.33203125" customWidth="1"/>
    <col min="15" max="15" width="27.1640625" customWidth="1"/>
    <col min="16" max="16" width="27.6640625" customWidth="1"/>
  </cols>
  <sheetData>
    <row r="1" spans="1:15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s="1" t="s">
        <v>12</v>
      </c>
    </row>
    <row r="2" spans="1:15" x14ac:dyDescent="0.2">
      <c r="A2">
        <v>1</v>
      </c>
      <c r="B2" t="s">
        <v>53</v>
      </c>
      <c r="C2">
        <v>1651</v>
      </c>
      <c r="D2">
        <v>349.03500000000003</v>
      </c>
      <c r="E2">
        <v>576257</v>
      </c>
      <c r="F2">
        <v>320</v>
      </c>
      <c r="G2">
        <v>576257</v>
      </c>
      <c r="H2">
        <v>205.68199999999999</v>
      </c>
      <c r="I2" t="s">
        <v>21</v>
      </c>
      <c r="J2" t="s">
        <v>22</v>
      </c>
      <c r="K2" t="s">
        <v>19</v>
      </c>
      <c r="L2">
        <f t="shared" ref="L2:L44" si="0">H2/4.95</f>
        <v>41.55191919191919</v>
      </c>
      <c r="M2" t="s">
        <v>15</v>
      </c>
      <c r="N2">
        <f>G2-(((G$9/C$9*C2)+(G$10/C$10*C2)+(G$11/C$11*C2))/3)</f>
        <v>111900.24884535075</v>
      </c>
      <c r="O2">
        <f t="shared" ref="O2:O44" si="1">N2/L2</f>
        <v>2693.0223927445586</v>
      </c>
    </row>
    <row r="3" spans="1:15" x14ac:dyDescent="0.2">
      <c r="A3">
        <v>2</v>
      </c>
      <c r="B3" t="s">
        <v>54</v>
      </c>
      <c r="C3">
        <v>1264</v>
      </c>
      <c r="D3">
        <v>332.46199999999999</v>
      </c>
      <c r="E3">
        <v>420232</v>
      </c>
      <c r="F3">
        <v>307</v>
      </c>
      <c r="G3">
        <v>420232</v>
      </c>
      <c r="H3">
        <v>157.69800000000001</v>
      </c>
      <c r="I3" t="s">
        <v>23</v>
      </c>
      <c r="J3" t="s">
        <v>22</v>
      </c>
      <c r="K3" t="s">
        <v>19</v>
      </c>
      <c r="L3">
        <f t="shared" si="0"/>
        <v>31.858181818181819</v>
      </c>
      <c r="M3" t="s">
        <v>15</v>
      </c>
      <c r="N3">
        <f>G3-(((G$9/C$9*C3)+(G$10/C$10*C3)+(G$11/C$11*C3))/3)</f>
        <v>64722.04636009899</v>
      </c>
      <c r="O3">
        <f t="shared" si="1"/>
        <v>2031.5674864772539</v>
      </c>
    </row>
    <row r="4" spans="1:15" x14ac:dyDescent="0.2">
      <c r="A4">
        <v>3</v>
      </c>
      <c r="B4" t="s">
        <v>55</v>
      </c>
      <c r="C4">
        <v>1481</v>
      </c>
      <c r="D4">
        <v>340.22899999999998</v>
      </c>
      <c r="E4">
        <v>503879</v>
      </c>
      <c r="F4">
        <v>307</v>
      </c>
      <c r="G4">
        <v>503879</v>
      </c>
      <c r="H4">
        <v>184.04300000000001</v>
      </c>
      <c r="I4" t="s">
        <v>24</v>
      </c>
      <c r="J4" t="s">
        <v>22</v>
      </c>
      <c r="K4" t="s">
        <v>19</v>
      </c>
      <c r="L4">
        <f t="shared" si="0"/>
        <v>37.180404040404042</v>
      </c>
      <c r="M4" t="s">
        <v>15</v>
      </c>
      <c r="N4">
        <f t="shared" ref="N4:N7" si="2">G4-(((G$9/C$9*C4)+(G$10/C$10*C4)+(G$11/C$11*C4))/3)</f>
        <v>87336.087546919764</v>
      </c>
      <c r="O4">
        <f t="shared" si="1"/>
        <v>2348.9816692688819</v>
      </c>
    </row>
    <row r="5" spans="1:15" x14ac:dyDescent="0.2">
      <c r="A5">
        <v>4</v>
      </c>
      <c r="B5" t="s">
        <v>56</v>
      </c>
      <c r="C5">
        <v>1595</v>
      </c>
      <c r="D5">
        <v>334.22199999999998</v>
      </c>
      <c r="E5">
        <v>533084</v>
      </c>
      <c r="F5">
        <v>308</v>
      </c>
      <c r="G5">
        <v>533084</v>
      </c>
      <c r="H5">
        <v>199.96299999999999</v>
      </c>
      <c r="I5" t="s">
        <v>25</v>
      </c>
      <c r="J5" t="s">
        <v>22</v>
      </c>
      <c r="K5" t="s">
        <v>19</v>
      </c>
      <c r="L5">
        <f t="shared" si="0"/>
        <v>40.396565656565656</v>
      </c>
      <c r="M5" t="s">
        <v>15</v>
      </c>
      <c r="N5">
        <f t="shared" si="2"/>
        <v>84477.689829397015</v>
      </c>
      <c r="O5">
        <f t="shared" si="1"/>
        <v>2091.2096970715343</v>
      </c>
    </row>
    <row r="6" spans="1:15" x14ac:dyDescent="0.2">
      <c r="A6">
        <v>5</v>
      </c>
      <c r="B6" t="s">
        <v>57</v>
      </c>
      <c r="C6">
        <v>1658</v>
      </c>
      <c r="D6">
        <v>390.46</v>
      </c>
      <c r="E6">
        <v>647383</v>
      </c>
      <c r="F6">
        <v>354</v>
      </c>
      <c r="G6">
        <v>647383</v>
      </c>
      <c r="H6">
        <v>206.87</v>
      </c>
      <c r="I6" t="s">
        <v>26</v>
      </c>
      <c r="J6" t="s">
        <v>22</v>
      </c>
      <c r="K6" t="s">
        <v>19</v>
      </c>
      <c r="L6">
        <f t="shared" si="0"/>
        <v>41.791919191919192</v>
      </c>
      <c r="M6" t="s">
        <v>15</v>
      </c>
      <c r="N6">
        <f t="shared" si="2"/>
        <v>181057.44372234499</v>
      </c>
      <c r="O6">
        <f t="shared" si="1"/>
        <v>4332.3553266573581</v>
      </c>
    </row>
    <row r="7" spans="1:15" x14ac:dyDescent="0.2">
      <c r="A7">
        <v>6</v>
      </c>
      <c r="B7" t="s">
        <v>58</v>
      </c>
      <c r="C7">
        <v>1704</v>
      </c>
      <c r="D7">
        <v>443.15600000000001</v>
      </c>
      <c r="E7">
        <v>755137</v>
      </c>
      <c r="F7">
        <v>390</v>
      </c>
      <c r="G7">
        <v>755137</v>
      </c>
      <c r="H7">
        <v>212.935</v>
      </c>
      <c r="I7" t="s">
        <v>27</v>
      </c>
      <c r="J7" t="s">
        <v>22</v>
      </c>
      <c r="K7" t="s">
        <v>19</v>
      </c>
      <c r="L7">
        <f t="shared" si="0"/>
        <v>43.017171717171713</v>
      </c>
      <c r="M7" t="s">
        <v>15</v>
      </c>
      <c r="N7">
        <f t="shared" si="2"/>
        <v>275873.58148544986</v>
      </c>
      <c r="O7">
        <f t="shared" si="1"/>
        <v>6413.103662399215</v>
      </c>
    </row>
    <row r="8" spans="1:15" x14ac:dyDescent="0.2">
      <c r="A8">
        <v>7</v>
      </c>
      <c r="B8" t="s">
        <v>59</v>
      </c>
      <c r="C8">
        <v>1672</v>
      </c>
      <c r="D8">
        <v>394.20600000000002</v>
      </c>
      <c r="E8">
        <v>659112</v>
      </c>
      <c r="F8">
        <v>342</v>
      </c>
      <c r="G8">
        <v>659112</v>
      </c>
      <c r="H8">
        <v>208.28700000000001</v>
      </c>
      <c r="I8" t="s">
        <v>28</v>
      </c>
      <c r="J8" t="s">
        <v>22</v>
      </c>
      <c r="K8" t="s">
        <v>19</v>
      </c>
      <c r="L8">
        <f t="shared" si="0"/>
        <v>42.078181818181818</v>
      </c>
      <c r="M8" t="s">
        <v>15</v>
      </c>
      <c r="N8">
        <f t="shared" ref="N8" si="3">G8-(((G$9/C$9*C8)+(G$10/C$10*C8)+(G$11/C$11*C8))/3)</f>
        <v>188848.83347633347</v>
      </c>
      <c r="O8">
        <f t="shared" ref="O8" si="4">N8/L8</f>
        <v>4488.0464249225861</v>
      </c>
    </row>
    <row r="9" spans="1:15" x14ac:dyDescent="0.2">
      <c r="A9">
        <v>8</v>
      </c>
      <c r="B9" t="s">
        <v>60</v>
      </c>
      <c r="C9">
        <v>1406</v>
      </c>
      <c r="D9">
        <v>281.04399999999998</v>
      </c>
      <c r="E9">
        <v>395148</v>
      </c>
      <c r="F9">
        <v>281</v>
      </c>
      <c r="G9">
        <v>395148</v>
      </c>
      <c r="H9">
        <v>174.334</v>
      </c>
      <c r="I9" t="s">
        <v>20</v>
      </c>
      <c r="K9" t="s">
        <v>19</v>
      </c>
      <c r="L9">
        <f t="shared" si="0"/>
        <v>35.218989898989896</v>
      </c>
      <c r="M9" t="s">
        <v>15</v>
      </c>
      <c r="O9">
        <f t="shared" si="1"/>
        <v>0</v>
      </c>
    </row>
    <row r="10" spans="1:15" x14ac:dyDescent="0.2">
      <c r="A10">
        <v>9</v>
      </c>
      <c r="B10" t="s">
        <v>61</v>
      </c>
      <c r="C10">
        <v>1344</v>
      </c>
      <c r="D10">
        <v>281.327</v>
      </c>
      <c r="E10">
        <v>378104</v>
      </c>
      <c r="F10">
        <v>281</v>
      </c>
      <c r="G10">
        <v>378104</v>
      </c>
      <c r="H10">
        <v>167.21700000000001</v>
      </c>
      <c r="I10" t="s">
        <v>20</v>
      </c>
      <c r="K10" t="s">
        <v>19</v>
      </c>
      <c r="L10">
        <f t="shared" si="0"/>
        <v>33.781212121212121</v>
      </c>
      <c r="M10" t="s">
        <v>15</v>
      </c>
      <c r="O10">
        <f t="shared" si="1"/>
        <v>0</v>
      </c>
    </row>
    <row r="11" spans="1:15" x14ac:dyDescent="0.2">
      <c r="A11">
        <v>10</v>
      </c>
      <c r="B11" t="s">
        <v>62</v>
      </c>
      <c r="C11">
        <v>1584</v>
      </c>
      <c r="D11">
        <v>281.40199999999999</v>
      </c>
      <c r="E11">
        <v>445741</v>
      </c>
      <c r="F11">
        <v>281</v>
      </c>
      <c r="G11">
        <v>445741</v>
      </c>
      <c r="H11">
        <v>197.077</v>
      </c>
      <c r="I11" t="s">
        <v>20</v>
      </c>
      <c r="K11" t="s">
        <v>19</v>
      </c>
      <c r="L11">
        <f t="shared" si="0"/>
        <v>39.81353535353535</v>
      </c>
      <c r="M11" t="s">
        <v>15</v>
      </c>
      <c r="O11">
        <f t="shared" si="1"/>
        <v>0</v>
      </c>
    </row>
    <row r="12" spans="1:15" x14ac:dyDescent="0.2">
      <c r="A12">
        <v>1</v>
      </c>
      <c r="B12" t="s">
        <v>63</v>
      </c>
      <c r="C12">
        <v>1580</v>
      </c>
      <c r="D12">
        <v>358.66</v>
      </c>
      <c r="E12">
        <v>566683</v>
      </c>
      <c r="F12">
        <v>333</v>
      </c>
      <c r="G12">
        <v>566683</v>
      </c>
      <c r="H12">
        <v>196.398</v>
      </c>
      <c r="I12" t="s">
        <v>29</v>
      </c>
      <c r="J12" t="s">
        <v>22</v>
      </c>
      <c r="K12" t="s">
        <v>19</v>
      </c>
      <c r="L12">
        <f t="shared" si="0"/>
        <v>39.676363636363632</v>
      </c>
      <c r="M12" t="s">
        <v>16</v>
      </c>
      <c r="N12">
        <f>G12-(((G$20/C$20*C12)+(G$21/C$21*C12)+(G$22/C$22*C12))/3)</f>
        <v>122777.49122446799</v>
      </c>
      <c r="O12">
        <f t="shared" si="1"/>
        <v>3094.4743915982676</v>
      </c>
    </row>
    <row r="13" spans="1:15" x14ac:dyDescent="0.2">
      <c r="A13">
        <v>2</v>
      </c>
      <c r="B13" t="s">
        <v>64</v>
      </c>
      <c r="C13">
        <v>1582</v>
      </c>
      <c r="D13">
        <v>368.66399999999999</v>
      </c>
      <c r="E13">
        <v>583226</v>
      </c>
      <c r="F13">
        <v>341</v>
      </c>
      <c r="G13">
        <v>583226</v>
      </c>
      <c r="H13">
        <v>197.04400000000001</v>
      </c>
      <c r="I13" t="s">
        <v>30</v>
      </c>
      <c r="J13" t="s">
        <v>22</v>
      </c>
      <c r="K13" t="s">
        <v>19</v>
      </c>
      <c r="L13">
        <f t="shared" si="0"/>
        <v>39.80686868686869</v>
      </c>
      <c r="M13" t="s">
        <v>16</v>
      </c>
      <c r="N13">
        <f t="shared" ref="N13:N19" si="5">G13-(((G$20/C$20*C13)+(G$21/C$21*C13)+(G$22/C$22*C13))/3)</f>
        <v>138758.58551715716</v>
      </c>
      <c r="O13">
        <f t="shared" si="1"/>
        <v>3485.7950422744561</v>
      </c>
    </row>
    <row r="14" spans="1:15" x14ac:dyDescent="0.2">
      <c r="A14">
        <v>3</v>
      </c>
      <c r="B14" t="s">
        <v>65</v>
      </c>
      <c r="C14">
        <v>1187</v>
      </c>
      <c r="D14">
        <v>329.99599999999998</v>
      </c>
      <c r="E14">
        <v>391705</v>
      </c>
      <c r="F14">
        <v>311</v>
      </c>
      <c r="G14">
        <v>391705</v>
      </c>
      <c r="H14">
        <v>147.19300000000001</v>
      </c>
      <c r="I14" t="s">
        <v>31</v>
      </c>
      <c r="J14" t="s">
        <v>22</v>
      </c>
      <c r="K14" t="s">
        <v>19</v>
      </c>
      <c r="L14">
        <f t="shared" si="0"/>
        <v>29.735959595959596</v>
      </c>
      <c r="M14" t="s">
        <v>16</v>
      </c>
      <c r="N14">
        <f t="shared" si="5"/>
        <v>58213.962711040222</v>
      </c>
      <c r="O14">
        <f t="shared" si="1"/>
        <v>1957.695783221003</v>
      </c>
    </row>
    <row r="15" spans="1:15" x14ac:dyDescent="0.2">
      <c r="A15">
        <v>4</v>
      </c>
      <c r="B15" t="s">
        <v>66</v>
      </c>
      <c r="C15">
        <v>1736</v>
      </c>
      <c r="D15">
        <v>416.952</v>
      </c>
      <c r="E15">
        <v>723829</v>
      </c>
      <c r="F15">
        <v>382</v>
      </c>
      <c r="G15">
        <v>723829</v>
      </c>
      <c r="H15">
        <v>215.37700000000001</v>
      </c>
      <c r="I15" t="s">
        <v>32</v>
      </c>
      <c r="J15" t="s">
        <v>22</v>
      </c>
      <c r="K15" t="s">
        <v>19</v>
      </c>
      <c r="L15">
        <f t="shared" si="0"/>
        <v>43.510505050505053</v>
      </c>
      <c r="M15" t="s">
        <v>16</v>
      </c>
      <c r="N15">
        <f t="shared" si="5"/>
        <v>236094.84605422564</v>
      </c>
      <c r="O15">
        <f t="shared" si="1"/>
        <v>5426.1573332733615</v>
      </c>
    </row>
    <row r="16" spans="1:15" x14ac:dyDescent="0.2">
      <c r="A16">
        <v>5</v>
      </c>
      <c r="B16" t="s">
        <v>67</v>
      </c>
      <c r="C16">
        <v>1404</v>
      </c>
      <c r="D16">
        <v>367.84300000000002</v>
      </c>
      <c r="E16">
        <v>516452</v>
      </c>
      <c r="F16">
        <v>337</v>
      </c>
      <c r="G16">
        <v>516452</v>
      </c>
      <c r="H16">
        <v>175.113</v>
      </c>
      <c r="I16" t="s">
        <v>33</v>
      </c>
      <c r="J16" t="s">
        <v>22</v>
      </c>
      <c r="K16" t="s">
        <v>19</v>
      </c>
      <c r="L16">
        <f t="shared" si="0"/>
        <v>35.376363636363635</v>
      </c>
      <c r="M16" t="s">
        <v>16</v>
      </c>
      <c r="N16">
        <f t="shared" si="5"/>
        <v>121994.19346781843</v>
      </c>
      <c r="O16">
        <f t="shared" si="1"/>
        <v>3448.4661770725261</v>
      </c>
    </row>
    <row r="17" spans="1:15" x14ac:dyDescent="0.2">
      <c r="A17">
        <v>6</v>
      </c>
      <c r="B17" t="s">
        <v>68</v>
      </c>
      <c r="C17">
        <v>1644</v>
      </c>
      <c r="D17">
        <v>375.12900000000002</v>
      </c>
      <c r="E17">
        <v>616712</v>
      </c>
      <c r="F17">
        <v>332</v>
      </c>
      <c r="G17">
        <v>616712</v>
      </c>
      <c r="H17">
        <v>205.589</v>
      </c>
      <c r="I17" t="s">
        <v>34</v>
      </c>
      <c r="J17" t="s">
        <v>22</v>
      </c>
      <c r="K17" t="s">
        <v>19</v>
      </c>
      <c r="L17">
        <f t="shared" si="0"/>
        <v>41.533131313131314</v>
      </c>
      <c r="M17" t="s">
        <v>16</v>
      </c>
      <c r="N17">
        <f t="shared" si="5"/>
        <v>154825.5085905224</v>
      </c>
      <c r="O17">
        <f t="shared" si="1"/>
        <v>3727.7591093058763</v>
      </c>
    </row>
    <row r="18" spans="1:15" x14ac:dyDescent="0.2">
      <c r="A18">
        <v>7</v>
      </c>
      <c r="B18" t="s">
        <v>69</v>
      </c>
      <c r="C18">
        <v>1601</v>
      </c>
      <c r="D18">
        <v>413.87400000000002</v>
      </c>
      <c r="E18">
        <v>662612</v>
      </c>
      <c r="F18">
        <v>369</v>
      </c>
      <c r="G18">
        <v>662612</v>
      </c>
      <c r="H18">
        <v>199.458</v>
      </c>
      <c r="I18" t="s">
        <v>35</v>
      </c>
      <c r="J18" t="s">
        <v>22</v>
      </c>
      <c r="K18" t="s">
        <v>19</v>
      </c>
      <c r="L18">
        <f t="shared" si="0"/>
        <v>40.29454545454545</v>
      </c>
      <c r="M18" t="s">
        <v>16</v>
      </c>
      <c r="N18">
        <f t="shared" si="5"/>
        <v>212806.48129770462</v>
      </c>
      <c r="O18">
        <f t="shared" si="1"/>
        <v>5281.2726610295804</v>
      </c>
    </row>
    <row r="19" spans="1:15" x14ac:dyDescent="0.2">
      <c r="A19">
        <v>8</v>
      </c>
      <c r="B19" t="s">
        <v>70</v>
      </c>
      <c r="C19">
        <v>1787</v>
      </c>
      <c r="D19">
        <v>401.74099999999999</v>
      </c>
      <c r="E19">
        <v>717912</v>
      </c>
      <c r="F19">
        <v>351</v>
      </c>
      <c r="G19">
        <v>717912</v>
      </c>
      <c r="H19">
        <v>222.96899999999999</v>
      </c>
      <c r="I19" t="s">
        <v>36</v>
      </c>
      <c r="J19" t="s">
        <v>22</v>
      </c>
      <c r="K19" t="s">
        <v>19</v>
      </c>
      <c r="L19">
        <f t="shared" si="0"/>
        <v>45.04424242424242</v>
      </c>
      <c r="M19" t="s">
        <v>16</v>
      </c>
      <c r="N19">
        <f t="shared" si="5"/>
        <v>215849.25051780022</v>
      </c>
      <c r="O19">
        <f t="shared" si="1"/>
        <v>4791.9387451309876</v>
      </c>
    </row>
    <row r="20" spans="1:15" x14ac:dyDescent="0.2">
      <c r="A20">
        <v>9</v>
      </c>
      <c r="B20" t="s">
        <v>71</v>
      </c>
      <c r="C20">
        <v>1302</v>
      </c>
      <c r="D20">
        <v>281.14400000000001</v>
      </c>
      <c r="E20">
        <v>366050</v>
      </c>
      <c r="F20">
        <v>281</v>
      </c>
      <c r="G20">
        <v>366050</v>
      </c>
      <c r="H20">
        <v>162.673</v>
      </c>
      <c r="I20" t="s">
        <v>20</v>
      </c>
      <c r="K20" t="s">
        <v>19</v>
      </c>
      <c r="L20">
        <f t="shared" si="0"/>
        <v>32.863232323232324</v>
      </c>
      <c r="M20" t="s">
        <v>16</v>
      </c>
      <c r="O20">
        <f t="shared" si="1"/>
        <v>0</v>
      </c>
    </row>
    <row r="21" spans="1:15" x14ac:dyDescent="0.2">
      <c r="A21">
        <v>10</v>
      </c>
      <c r="B21" t="s">
        <v>72</v>
      </c>
      <c r="C21">
        <v>1305</v>
      </c>
      <c r="D21">
        <v>280.96800000000002</v>
      </c>
      <c r="E21">
        <v>366663</v>
      </c>
      <c r="F21">
        <v>281</v>
      </c>
      <c r="G21">
        <v>366663</v>
      </c>
      <c r="H21">
        <v>161.87299999999999</v>
      </c>
      <c r="I21" t="s">
        <v>20</v>
      </c>
      <c r="K21" t="s">
        <v>19</v>
      </c>
      <c r="L21">
        <f t="shared" si="0"/>
        <v>32.701616161616158</v>
      </c>
      <c r="M21" t="s">
        <v>16</v>
      </c>
      <c r="O21">
        <f t="shared" si="1"/>
        <v>0</v>
      </c>
    </row>
    <row r="22" spans="1:15" x14ac:dyDescent="0.2">
      <c r="A22">
        <v>11</v>
      </c>
      <c r="B22" t="s">
        <v>73</v>
      </c>
      <c r="C22">
        <v>1439</v>
      </c>
      <c r="D22">
        <v>280.74599999999998</v>
      </c>
      <c r="E22">
        <v>403994</v>
      </c>
      <c r="F22">
        <v>281</v>
      </c>
      <c r="G22">
        <v>403994</v>
      </c>
      <c r="H22">
        <v>178.53</v>
      </c>
      <c r="I22" t="s">
        <v>20</v>
      </c>
      <c r="K22" t="s">
        <v>19</v>
      </c>
      <c r="L22">
        <f t="shared" si="0"/>
        <v>36.066666666666663</v>
      </c>
      <c r="M22" t="s">
        <v>16</v>
      </c>
      <c r="O22">
        <f t="shared" si="1"/>
        <v>0</v>
      </c>
    </row>
    <row r="23" spans="1:15" x14ac:dyDescent="0.2">
      <c r="A23">
        <v>1</v>
      </c>
      <c r="B23" t="s">
        <v>74</v>
      </c>
      <c r="C23">
        <v>1162</v>
      </c>
      <c r="D23">
        <v>293.65899999999999</v>
      </c>
      <c r="E23">
        <v>341232</v>
      </c>
      <c r="F23">
        <v>287</v>
      </c>
      <c r="G23">
        <v>341232</v>
      </c>
      <c r="H23">
        <v>144.27099999999999</v>
      </c>
      <c r="I23" t="s">
        <v>37</v>
      </c>
      <c r="J23" t="s">
        <v>22</v>
      </c>
      <c r="K23" t="s">
        <v>19</v>
      </c>
      <c r="L23">
        <f t="shared" si="0"/>
        <v>29.145656565656562</v>
      </c>
      <c r="M23" t="s">
        <v>17</v>
      </c>
      <c r="N23">
        <f>G23-(((G$31/C$31*C23)+(G$32/C$32*C23)+(G$33/C$33*C23))/3)</f>
        <v>14498.901161285583</v>
      </c>
      <c r="O23">
        <f t="shared" si="1"/>
        <v>497.46352869505057</v>
      </c>
    </row>
    <row r="24" spans="1:15" x14ac:dyDescent="0.2">
      <c r="A24">
        <v>2</v>
      </c>
      <c r="B24" t="s">
        <v>75</v>
      </c>
      <c r="C24">
        <v>1272</v>
      </c>
      <c r="D24">
        <v>309.101</v>
      </c>
      <c r="E24">
        <v>393176</v>
      </c>
      <c r="F24">
        <v>294</v>
      </c>
      <c r="G24">
        <v>393176</v>
      </c>
      <c r="H24">
        <v>158.357</v>
      </c>
      <c r="I24" t="s">
        <v>38</v>
      </c>
      <c r="J24" t="s">
        <v>22</v>
      </c>
      <c r="K24" t="s">
        <v>19</v>
      </c>
      <c r="L24">
        <f t="shared" si="0"/>
        <v>31.991313131313131</v>
      </c>
      <c r="M24" t="s">
        <v>17</v>
      </c>
      <c r="N24">
        <f t="shared" ref="N24:N30" si="6">G24-(((G$31/C$31*C24)+(G$32/C$32*C24)+(G$33/C$33*C24))/3)</f>
        <v>35512.917622336652</v>
      </c>
      <c r="O24">
        <f t="shared" si="1"/>
        <v>1110.0800231790602</v>
      </c>
    </row>
    <row r="25" spans="1:15" x14ac:dyDescent="0.2">
      <c r="A25">
        <v>3</v>
      </c>
      <c r="B25" t="s">
        <v>76</v>
      </c>
      <c r="C25">
        <v>1450</v>
      </c>
      <c r="D25">
        <v>328.08499999999998</v>
      </c>
      <c r="E25">
        <v>475723</v>
      </c>
      <c r="F25">
        <v>311</v>
      </c>
      <c r="G25">
        <v>475723</v>
      </c>
      <c r="H25">
        <v>180.75399999999999</v>
      </c>
      <c r="I25" t="s">
        <v>39</v>
      </c>
      <c r="J25" t="s">
        <v>22</v>
      </c>
      <c r="K25" t="s">
        <v>19</v>
      </c>
      <c r="L25">
        <f t="shared" si="0"/>
        <v>36.515959595959593</v>
      </c>
      <c r="M25" t="s">
        <v>17</v>
      </c>
      <c r="N25">
        <f t="shared" si="6"/>
        <v>68009.580622946669</v>
      </c>
      <c r="O25">
        <f t="shared" si="1"/>
        <v>1862.4618215009684</v>
      </c>
    </row>
    <row r="26" spans="1:15" x14ac:dyDescent="0.2">
      <c r="A26">
        <v>4</v>
      </c>
      <c r="B26" t="s">
        <v>77</v>
      </c>
      <c r="C26">
        <v>1430</v>
      </c>
      <c r="D26">
        <v>344.50700000000001</v>
      </c>
      <c r="E26">
        <v>492645</v>
      </c>
      <c r="F26">
        <v>319</v>
      </c>
      <c r="G26">
        <v>492645</v>
      </c>
      <c r="H26">
        <v>177.98</v>
      </c>
      <c r="I26" t="s">
        <v>40</v>
      </c>
      <c r="J26" t="s">
        <v>22</v>
      </c>
      <c r="K26" t="s">
        <v>19</v>
      </c>
      <c r="L26">
        <f t="shared" si="0"/>
        <v>35.955555555555556</v>
      </c>
      <c r="M26" t="s">
        <v>17</v>
      </c>
      <c r="N26">
        <f t="shared" si="6"/>
        <v>90555.213993664656</v>
      </c>
      <c r="O26">
        <f t="shared" si="1"/>
        <v>2518.5319095889427</v>
      </c>
    </row>
    <row r="27" spans="1:15" x14ac:dyDescent="0.2">
      <c r="A27">
        <v>5</v>
      </c>
      <c r="B27" t="s">
        <v>78</v>
      </c>
      <c r="C27">
        <v>1640</v>
      </c>
      <c r="D27">
        <v>407.68599999999998</v>
      </c>
      <c r="E27">
        <v>668605</v>
      </c>
      <c r="F27">
        <v>369</v>
      </c>
      <c r="G27">
        <v>668605</v>
      </c>
      <c r="H27">
        <v>204.96899999999999</v>
      </c>
      <c r="I27" t="s">
        <v>41</v>
      </c>
      <c r="J27" t="s">
        <v>22</v>
      </c>
      <c r="K27" t="s">
        <v>19</v>
      </c>
      <c r="L27">
        <f t="shared" si="0"/>
        <v>41.407878787878786</v>
      </c>
      <c r="M27" t="s">
        <v>17</v>
      </c>
      <c r="N27">
        <f t="shared" si="6"/>
        <v>207467.06360112596</v>
      </c>
      <c r="O27">
        <f t="shared" si="1"/>
        <v>5010.3282195140418</v>
      </c>
    </row>
    <row r="28" spans="1:15" x14ac:dyDescent="0.2">
      <c r="A28">
        <v>6</v>
      </c>
      <c r="B28" t="s">
        <v>79</v>
      </c>
      <c r="C28">
        <v>1822</v>
      </c>
      <c r="D28">
        <v>438.94200000000001</v>
      </c>
      <c r="E28">
        <v>799752</v>
      </c>
      <c r="F28">
        <v>401</v>
      </c>
      <c r="G28">
        <v>799752</v>
      </c>
      <c r="H28">
        <v>227.81100000000001</v>
      </c>
      <c r="I28" t="s">
        <v>42</v>
      </c>
      <c r="J28" t="s">
        <v>22</v>
      </c>
      <c r="K28" t="s">
        <v>19</v>
      </c>
      <c r="L28">
        <f t="shared" si="0"/>
        <v>46.022424242424243</v>
      </c>
      <c r="M28" t="s">
        <v>17</v>
      </c>
      <c r="N28">
        <f t="shared" si="6"/>
        <v>287438.99992759229</v>
      </c>
      <c r="O28">
        <f t="shared" si="1"/>
        <v>6245.6292700597505</v>
      </c>
    </row>
    <row r="29" spans="1:15" x14ac:dyDescent="0.2">
      <c r="A29">
        <v>7</v>
      </c>
      <c r="B29" t="s">
        <v>80</v>
      </c>
      <c r="C29">
        <v>1619</v>
      </c>
      <c r="D29">
        <v>369.678</v>
      </c>
      <c r="E29">
        <v>598509</v>
      </c>
      <c r="F29">
        <v>331</v>
      </c>
      <c r="G29">
        <v>598509</v>
      </c>
      <c r="H29">
        <v>201.31899999999999</v>
      </c>
      <c r="I29" t="s">
        <v>43</v>
      </c>
      <c r="J29" t="s">
        <v>22</v>
      </c>
      <c r="K29" t="s">
        <v>19</v>
      </c>
      <c r="L29">
        <f t="shared" si="0"/>
        <v>40.670505050505049</v>
      </c>
      <c r="M29" t="s">
        <v>17</v>
      </c>
      <c r="N29">
        <f t="shared" si="6"/>
        <v>143275.87864037976</v>
      </c>
      <c r="O29">
        <f t="shared" si="1"/>
        <v>3522.8448346647847</v>
      </c>
    </row>
    <row r="30" spans="1:15" x14ac:dyDescent="0.2">
      <c r="A30">
        <v>8</v>
      </c>
      <c r="B30" t="s">
        <v>81</v>
      </c>
      <c r="C30">
        <v>1697</v>
      </c>
      <c r="D30">
        <v>380.03100000000001</v>
      </c>
      <c r="E30">
        <v>644913</v>
      </c>
      <c r="F30">
        <v>333</v>
      </c>
      <c r="G30">
        <v>644913</v>
      </c>
      <c r="H30">
        <v>210.77099999999999</v>
      </c>
      <c r="I30" t="s">
        <v>44</v>
      </c>
      <c r="J30" t="s">
        <v>22</v>
      </c>
      <c r="K30" t="s">
        <v>19</v>
      </c>
      <c r="L30">
        <f t="shared" si="0"/>
        <v>42.58</v>
      </c>
      <c r="M30" t="s">
        <v>17</v>
      </c>
      <c r="N30">
        <f t="shared" si="6"/>
        <v>167747.70849457965</v>
      </c>
      <c r="O30">
        <f t="shared" si="1"/>
        <v>3939.5892084213165</v>
      </c>
    </row>
    <row r="31" spans="1:15" x14ac:dyDescent="0.2">
      <c r="A31">
        <v>9</v>
      </c>
      <c r="B31" t="s">
        <v>82</v>
      </c>
      <c r="C31">
        <v>1507</v>
      </c>
      <c r="D31">
        <v>281.41699999999997</v>
      </c>
      <c r="E31">
        <v>424095</v>
      </c>
      <c r="F31">
        <v>281</v>
      </c>
      <c r="G31">
        <v>424095</v>
      </c>
      <c r="H31">
        <v>186.93799999999999</v>
      </c>
      <c r="I31" t="s">
        <v>20</v>
      </c>
      <c r="K31" t="s">
        <v>19</v>
      </c>
      <c r="L31">
        <f t="shared" si="0"/>
        <v>37.765252525252521</v>
      </c>
      <c r="M31" t="s">
        <v>17</v>
      </c>
      <c r="O31">
        <f t="shared" si="1"/>
        <v>0</v>
      </c>
    </row>
    <row r="32" spans="1:15" x14ac:dyDescent="0.2">
      <c r="A32">
        <v>10</v>
      </c>
      <c r="B32" t="s">
        <v>83</v>
      </c>
      <c r="C32">
        <v>1496</v>
      </c>
      <c r="D32">
        <v>280.839</v>
      </c>
      <c r="E32">
        <v>420135</v>
      </c>
      <c r="F32">
        <v>281</v>
      </c>
      <c r="G32">
        <v>420135</v>
      </c>
      <c r="H32">
        <v>185.71899999999999</v>
      </c>
      <c r="I32" t="s">
        <v>20</v>
      </c>
      <c r="K32" t="s">
        <v>19</v>
      </c>
      <c r="L32">
        <f t="shared" si="0"/>
        <v>37.518989898989894</v>
      </c>
      <c r="M32" t="s">
        <v>17</v>
      </c>
      <c r="O32">
        <f t="shared" si="1"/>
        <v>0</v>
      </c>
    </row>
    <row r="33" spans="1:15" x14ac:dyDescent="0.2">
      <c r="A33">
        <v>11</v>
      </c>
      <c r="B33" t="s">
        <v>84</v>
      </c>
      <c r="C33">
        <v>1403</v>
      </c>
      <c r="D33">
        <v>281.28899999999999</v>
      </c>
      <c r="E33">
        <v>394649</v>
      </c>
      <c r="F33">
        <v>281</v>
      </c>
      <c r="G33">
        <v>394649</v>
      </c>
      <c r="H33">
        <v>173.84899999999999</v>
      </c>
      <c r="I33" t="s">
        <v>20</v>
      </c>
      <c r="K33" t="s">
        <v>19</v>
      </c>
      <c r="L33">
        <f t="shared" si="0"/>
        <v>35.1210101010101</v>
      </c>
      <c r="M33" t="s">
        <v>17</v>
      </c>
      <c r="O33">
        <f t="shared" si="1"/>
        <v>0</v>
      </c>
    </row>
    <row r="34" spans="1:15" x14ac:dyDescent="0.2">
      <c r="A34">
        <v>1</v>
      </c>
      <c r="B34" t="s">
        <v>85</v>
      </c>
      <c r="C34">
        <v>1611</v>
      </c>
      <c r="D34">
        <v>371.22500000000002</v>
      </c>
      <c r="E34">
        <v>598043</v>
      </c>
      <c r="F34">
        <v>344</v>
      </c>
      <c r="G34">
        <v>598043</v>
      </c>
      <c r="H34">
        <v>200.999</v>
      </c>
      <c r="I34" t="s">
        <v>45</v>
      </c>
      <c r="J34" t="s">
        <v>22</v>
      </c>
      <c r="K34" t="s">
        <v>19</v>
      </c>
      <c r="L34">
        <f t="shared" si="0"/>
        <v>40.605858585858584</v>
      </c>
      <c r="M34" t="s">
        <v>18</v>
      </c>
      <c r="N34">
        <f>G34-(((G$42/C$42*C34)+(G$43/C$43*C34)+(G$44/C$44*C34))/3)</f>
        <v>146127.71258746268</v>
      </c>
      <c r="O34">
        <f t="shared" si="1"/>
        <v>3598.6854527034479</v>
      </c>
    </row>
    <row r="35" spans="1:15" x14ac:dyDescent="0.2">
      <c r="A35">
        <v>2</v>
      </c>
      <c r="B35" t="s">
        <v>86</v>
      </c>
      <c r="C35">
        <v>1621</v>
      </c>
      <c r="D35">
        <v>358.76600000000002</v>
      </c>
      <c r="E35">
        <v>581559</v>
      </c>
      <c r="F35">
        <v>331</v>
      </c>
      <c r="G35">
        <v>581559</v>
      </c>
      <c r="H35">
        <v>201.95099999999999</v>
      </c>
      <c r="I35" t="s">
        <v>46</v>
      </c>
      <c r="J35" t="s">
        <v>22</v>
      </c>
      <c r="K35" t="s">
        <v>19</v>
      </c>
      <c r="L35">
        <f t="shared" si="0"/>
        <v>40.798181818181817</v>
      </c>
      <c r="M35" t="s">
        <v>18</v>
      </c>
      <c r="N35">
        <f>G35-(((G$42/C$42*C35)+(G$43/C$43*C35)+(G$44/C$44*C35))/3)</f>
        <v>126838.52768732281</v>
      </c>
      <c r="O35">
        <f t="shared" si="1"/>
        <v>3108.9259872555617</v>
      </c>
    </row>
    <row r="36" spans="1:15" x14ac:dyDescent="0.2">
      <c r="A36">
        <v>3</v>
      </c>
      <c r="B36" t="s">
        <v>87</v>
      </c>
      <c r="C36">
        <v>1475</v>
      </c>
      <c r="D36">
        <v>332.83600000000001</v>
      </c>
      <c r="E36">
        <v>490933</v>
      </c>
      <c r="F36">
        <v>314</v>
      </c>
      <c r="G36">
        <v>490933</v>
      </c>
      <c r="H36">
        <v>184.114</v>
      </c>
      <c r="I36" t="s">
        <v>47</v>
      </c>
      <c r="J36" t="s">
        <v>22</v>
      </c>
      <c r="K36" t="s">
        <v>19</v>
      </c>
      <c r="L36">
        <f t="shared" si="0"/>
        <v>37.194747474747473</v>
      </c>
      <c r="M36" t="s">
        <v>18</v>
      </c>
      <c r="N36">
        <f>G36-(((G$42/C$42*C36)+(G$43/C$43*C36)+(G$44/C$44*C36))/3)</f>
        <v>77168.227229365322</v>
      </c>
      <c r="O36">
        <f t="shared" si="1"/>
        <v>2074.7076527877202</v>
      </c>
    </row>
    <row r="37" spans="1:15" x14ac:dyDescent="0.2">
      <c r="A37">
        <v>4</v>
      </c>
      <c r="B37" t="s">
        <v>88</v>
      </c>
      <c r="C37">
        <v>1589</v>
      </c>
      <c r="D37">
        <v>374.48599999999999</v>
      </c>
      <c r="E37">
        <v>595058</v>
      </c>
      <c r="F37">
        <v>352</v>
      </c>
      <c r="G37">
        <v>595058</v>
      </c>
      <c r="H37">
        <v>197.578</v>
      </c>
      <c r="I37" t="s">
        <v>48</v>
      </c>
      <c r="J37" t="s">
        <v>22</v>
      </c>
      <c r="K37" t="s">
        <v>19</v>
      </c>
      <c r="L37">
        <f t="shared" si="0"/>
        <v>39.914747474747472</v>
      </c>
      <c r="M37" t="s">
        <v>18</v>
      </c>
      <c r="N37">
        <f>G37-(((G$42/C$42*C37)+(G$43/C$43*C37)+(G$44/C$44*C37))/3)</f>
        <v>149314.11936777044</v>
      </c>
      <c r="O37">
        <f t="shared" si="1"/>
        <v>3740.8258554619633</v>
      </c>
    </row>
    <row r="38" spans="1:15" x14ac:dyDescent="0.2">
      <c r="A38">
        <v>5</v>
      </c>
      <c r="B38" t="s">
        <v>89</v>
      </c>
      <c r="C38">
        <v>1639</v>
      </c>
      <c r="D38">
        <v>394.452</v>
      </c>
      <c r="E38">
        <v>646507</v>
      </c>
      <c r="F38">
        <v>361</v>
      </c>
      <c r="G38">
        <v>646507</v>
      </c>
      <c r="H38">
        <v>204.44499999999999</v>
      </c>
      <c r="I38" t="s">
        <v>49</v>
      </c>
      <c r="J38" t="s">
        <v>22</v>
      </c>
      <c r="K38" t="s">
        <v>19</v>
      </c>
      <c r="L38">
        <f t="shared" si="0"/>
        <v>41.302020202020202</v>
      </c>
      <c r="M38" t="s">
        <v>18</v>
      </c>
      <c r="N38">
        <f>G38-(((G$42/C$42*C38)+(G$43/C$43*C38)+(G$44/C$44*C38))/3)</f>
        <v>186737.19486707094</v>
      </c>
      <c r="O38">
        <f t="shared" si="1"/>
        <v>4521.2605570789265</v>
      </c>
    </row>
    <row r="39" spans="1:15" x14ac:dyDescent="0.2">
      <c r="A39">
        <v>6</v>
      </c>
      <c r="B39" t="s">
        <v>90</v>
      </c>
      <c r="C39">
        <v>1657</v>
      </c>
      <c r="D39">
        <v>398.57799999999997</v>
      </c>
      <c r="E39">
        <v>660444</v>
      </c>
      <c r="F39">
        <v>360</v>
      </c>
      <c r="G39">
        <v>660444</v>
      </c>
      <c r="H39">
        <v>206.14599999999999</v>
      </c>
      <c r="I39" t="s">
        <v>50</v>
      </c>
      <c r="J39" t="s">
        <v>22</v>
      </c>
      <c r="K39" t="s">
        <v>19</v>
      </c>
      <c r="L39">
        <f t="shared" si="0"/>
        <v>41.645656565656559</v>
      </c>
      <c r="M39" t="s">
        <v>18</v>
      </c>
      <c r="N39">
        <f t="shared" ref="N39" si="7">G39-(((G$42/C$42*C39)+(G$43/C$43*C39)+(G$44/C$44*C39))/3)</f>
        <v>195624.86204681918</v>
      </c>
      <c r="O39">
        <f t="shared" si="1"/>
        <v>4697.3652999900805</v>
      </c>
    </row>
    <row r="40" spans="1:15" x14ac:dyDescent="0.2">
      <c r="A40">
        <v>7</v>
      </c>
      <c r="B40" t="s">
        <v>91</v>
      </c>
      <c r="C40">
        <v>1163</v>
      </c>
      <c r="D40">
        <v>307.34199999999998</v>
      </c>
      <c r="E40">
        <v>357439</v>
      </c>
      <c r="F40">
        <v>296</v>
      </c>
      <c r="G40">
        <v>357439</v>
      </c>
      <c r="H40">
        <v>144.03800000000001</v>
      </c>
      <c r="I40" t="s">
        <v>51</v>
      </c>
      <c r="J40" t="s">
        <v>22</v>
      </c>
      <c r="K40" t="s">
        <v>19</v>
      </c>
      <c r="L40">
        <f t="shared" si="0"/>
        <v>29.09858585858586</v>
      </c>
      <c r="M40" t="s">
        <v>18</v>
      </c>
      <c r="N40">
        <f>G40-(((G$42/C$42*C40)+(G$43/C$43*C40)+(G$44/C$44*C40))/3)</f>
        <v>31195.996113730071</v>
      </c>
      <c r="O40">
        <f t="shared" si="1"/>
        <v>1072.0794565528809</v>
      </c>
    </row>
    <row r="41" spans="1:15" x14ac:dyDescent="0.2">
      <c r="A41">
        <v>8</v>
      </c>
      <c r="B41" t="s">
        <v>92</v>
      </c>
      <c r="C41">
        <v>1631</v>
      </c>
      <c r="D41">
        <v>362.06599999999997</v>
      </c>
      <c r="E41">
        <v>590530</v>
      </c>
      <c r="F41">
        <v>322</v>
      </c>
      <c r="G41">
        <v>590530</v>
      </c>
      <c r="H41">
        <v>202.7</v>
      </c>
      <c r="I41" t="s">
        <v>52</v>
      </c>
      <c r="J41" t="s">
        <v>22</v>
      </c>
      <c r="K41" t="s">
        <v>19</v>
      </c>
      <c r="L41">
        <f t="shared" si="0"/>
        <v>40.949494949494948</v>
      </c>
      <c r="M41" t="s">
        <v>18</v>
      </c>
      <c r="N41">
        <f>G41-(((G$42/C$42*C41)+(G$43/C$43*C41)+(G$44/C$44*C41))/3)</f>
        <v>133004.34278718289</v>
      </c>
      <c r="O41">
        <f t="shared" ref="O41" si="8">N41/L41</f>
        <v>3248.0093576544418</v>
      </c>
    </row>
    <row r="42" spans="1:15" x14ac:dyDescent="0.2">
      <c r="A42">
        <v>9</v>
      </c>
      <c r="B42" t="s">
        <v>93</v>
      </c>
      <c r="C42">
        <v>1236</v>
      </c>
      <c r="D42">
        <v>281.04000000000002</v>
      </c>
      <c r="E42">
        <v>347366</v>
      </c>
      <c r="F42">
        <v>281</v>
      </c>
      <c r="G42">
        <v>347366</v>
      </c>
      <c r="H42">
        <v>153.398</v>
      </c>
      <c r="I42" t="s">
        <v>20</v>
      </c>
      <c r="K42" t="s">
        <v>19</v>
      </c>
      <c r="L42">
        <f t="shared" si="0"/>
        <v>30.989494949494947</v>
      </c>
      <c r="M42" t="s">
        <v>18</v>
      </c>
      <c r="O42">
        <f t="shared" si="1"/>
        <v>0</v>
      </c>
    </row>
    <row r="43" spans="1:15" x14ac:dyDescent="0.2">
      <c r="A43">
        <v>10</v>
      </c>
      <c r="B43" t="s">
        <v>94</v>
      </c>
      <c r="C43">
        <v>1414</v>
      </c>
      <c r="D43">
        <v>280.85599999999999</v>
      </c>
      <c r="E43">
        <v>397130</v>
      </c>
      <c r="F43">
        <v>281</v>
      </c>
      <c r="G43">
        <v>397130</v>
      </c>
      <c r="H43">
        <v>175.91900000000001</v>
      </c>
      <c r="I43" t="s">
        <v>20</v>
      </c>
      <c r="K43" t="s">
        <v>19</v>
      </c>
      <c r="L43">
        <f t="shared" si="0"/>
        <v>35.539191919191921</v>
      </c>
      <c r="M43" t="s">
        <v>18</v>
      </c>
      <c r="O43">
        <f t="shared" si="1"/>
        <v>0</v>
      </c>
    </row>
    <row r="44" spans="1:15" x14ac:dyDescent="0.2">
      <c r="A44">
        <v>11</v>
      </c>
      <c r="B44" t="s">
        <v>95</v>
      </c>
      <c r="C44">
        <v>1265</v>
      </c>
      <c r="D44">
        <v>279.65899999999999</v>
      </c>
      <c r="E44">
        <v>353769</v>
      </c>
      <c r="F44">
        <v>280</v>
      </c>
      <c r="G44">
        <v>353769</v>
      </c>
      <c r="H44">
        <v>157.215</v>
      </c>
      <c r="I44" t="s">
        <v>20</v>
      </c>
      <c r="K44" t="s">
        <v>19</v>
      </c>
      <c r="L44">
        <f t="shared" si="0"/>
        <v>31.760606060606062</v>
      </c>
      <c r="M44" t="s">
        <v>18</v>
      </c>
      <c r="O44">
        <f t="shared" si="1"/>
        <v>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2024-02-07T14:03:06Z</dcterms:modified>
</cp:coreProperties>
</file>