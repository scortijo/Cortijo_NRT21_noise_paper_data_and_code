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ndra/Desktop/BPMP/NRT2.1/Influx/20210318_1mM_10mM_nrt21luc/luciferase_20210318_nrt21luc/"/>
    </mc:Choice>
  </mc:AlternateContent>
  <xr:revisionPtr revIDLastSave="0" documentId="13_ncr:1_{4B354B2E-2FBA-D248-B36B-E01DAAF14B70}" xr6:coauthVersionLast="36" xr6:coauthVersionMax="36" xr10:uidLastSave="{00000000-0000-0000-0000-000000000000}"/>
  <bookViews>
    <workbookView xWindow="0" yWindow="960" windowWidth="28800" windowHeight="16080" xr2:uid="{263E4B9B-C947-1843-9EC6-87E0BBB647B1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2" i="1" l="1"/>
  <c r="E94" i="1" l="1"/>
  <c r="E93" i="1"/>
  <c r="D94" i="1"/>
  <c r="D93" i="1"/>
  <c r="C94" i="1"/>
  <c r="B94" i="1"/>
  <c r="C93" i="1"/>
  <c r="B93" i="1"/>
  <c r="N80" i="1"/>
  <c r="N81" i="1"/>
  <c r="N82" i="1"/>
  <c r="N83" i="1"/>
  <c r="N84" i="1"/>
  <c r="N85" i="1"/>
  <c r="N79" i="1"/>
  <c r="M80" i="1"/>
  <c r="M81" i="1"/>
  <c r="M82" i="1"/>
  <c r="M83" i="1"/>
  <c r="M84" i="1"/>
  <c r="M85" i="1"/>
  <c r="M79" i="1"/>
  <c r="J80" i="1"/>
  <c r="J81" i="1"/>
  <c r="J82" i="1"/>
  <c r="J83" i="1"/>
  <c r="J84" i="1"/>
  <c r="J85" i="1"/>
  <c r="J79" i="1"/>
  <c r="N69" i="1"/>
  <c r="N70" i="1"/>
  <c r="N71" i="1"/>
  <c r="N72" i="1"/>
  <c r="N73" i="1"/>
  <c r="N74" i="1"/>
  <c r="N75" i="1"/>
  <c r="N68" i="1"/>
  <c r="M69" i="1"/>
  <c r="M70" i="1"/>
  <c r="M71" i="1"/>
  <c r="M72" i="1"/>
  <c r="M73" i="1"/>
  <c r="M74" i="1"/>
  <c r="M75" i="1"/>
  <c r="M68" i="1"/>
  <c r="J69" i="1"/>
  <c r="J70" i="1"/>
  <c r="J71" i="1"/>
  <c r="J72" i="1"/>
  <c r="J73" i="1"/>
  <c r="J74" i="1"/>
  <c r="J75" i="1"/>
  <c r="J68" i="1"/>
  <c r="N58" i="1"/>
  <c r="N59" i="1"/>
  <c r="N60" i="1"/>
  <c r="N61" i="1"/>
  <c r="N62" i="1"/>
  <c r="N63" i="1"/>
  <c r="N64" i="1"/>
  <c r="N57" i="1"/>
  <c r="M58" i="1"/>
  <c r="M59" i="1"/>
  <c r="M60" i="1"/>
  <c r="M61" i="1"/>
  <c r="M62" i="1"/>
  <c r="M63" i="1"/>
  <c r="M64" i="1"/>
  <c r="M57" i="1"/>
  <c r="J57" i="1"/>
  <c r="J58" i="1"/>
  <c r="J59" i="1"/>
  <c r="J60" i="1"/>
  <c r="J61" i="1"/>
  <c r="J62" i="1"/>
  <c r="J63" i="1"/>
  <c r="J64" i="1"/>
  <c r="N46" i="1"/>
  <c r="N47" i="1"/>
  <c r="N48" i="1"/>
  <c r="N49" i="1"/>
  <c r="N50" i="1"/>
  <c r="N51" i="1"/>
  <c r="N52" i="1"/>
  <c r="N53" i="1"/>
  <c r="M47" i="1"/>
  <c r="M48" i="1"/>
  <c r="M49" i="1"/>
  <c r="M50" i="1"/>
  <c r="M51" i="1"/>
  <c r="M52" i="1"/>
  <c r="M53" i="1"/>
  <c r="M46" i="1"/>
  <c r="J46" i="1"/>
  <c r="J47" i="1"/>
  <c r="J48" i="1"/>
  <c r="J49" i="1"/>
  <c r="J50" i="1"/>
  <c r="J51" i="1"/>
  <c r="J52" i="1"/>
  <c r="J53" i="1"/>
  <c r="N35" i="1"/>
  <c r="N36" i="1"/>
  <c r="N37" i="1"/>
  <c r="N38" i="1"/>
  <c r="N39" i="1"/>
  <c r="N40" i="1"/>
  <c r="N41" i="1"/>
  <c r="N42" i="1"/>
  <c r="M36" i="1"/>
  <c r="M37" i="1"/>
  <c r="M38" i="1"/>
  <c r="M39" i="1"/>
  <c r="M40" i="1"/>
  <c r="M41" i="1"/>
  <c r="M42" i="1"/>
  <c r="M35" i="1"/>
  <c r="J35" i="1"/>
  <c r="J36" i="1"/>
  <c r="J37" i="1"/>
  <c r="J38" i="1"/>
  <c r="J39" i="1"/>
  <c r="J40" i="1"/>
  <c r="J41" i="1"/>
  <c r="J42" i="1"/>
  <c r="N25" i="1"/>
  <c r="N26" i="1"/>
  <c r="N27" i="1"/>
  <c r="N28" i="1"/>
  <c r="N29" i="1"/>
  <c r="N30" i="1"/>
  <c r="N31" i="1"/>
  <c r="N24" i="1"/>
  <c r="M25" i="1"/>
  <c r="M26" i="1"/>
  <c r="M27" i="1"/>
  <c r="M28" i="1"/>
  <c r="M29" i="1"/>
  <c r="M30" i="1"/>
  <c r="M31" i="1"/>
  <c r="M24" i="1"/>
  <c r="J24" i="1"/>
  <c r="J25" i="1"/>
  <c r="J26" i="1"/>
  <c r="J27" i="1"/>
  <c r="J28" i="1"/>
  <c r="J29" i="1"/>
  <c r="J30" i="1"/>
  <c r="J31" i="1"/>
  <c r="N3" i="1"/>
  <c r="N4" i="1"/>
  <c r="N5" i="1"/>
  <c r="N6" i="1"/>
  <c r="N7" i="1"/>
  <c r="N8" i="1"/>
  <c r="N9" i="1"/>
  <c r="N13" i="1"/>
  <c r="N14" i="1"/>
  <c r="N15" i="1"/>
  <c r="N16" i="1"/>
  <c r="N17" i="1"/>
  <c r="N18" i="1"/>
  <c r="N19" i="1"/>
  <c r="N20" i="1"/>
  <c r="J3" i="1"/>
  <c r="J4" i="1"/>
  <c r="J5" i="1"/>
  <c r="J6" i="1"/>
  <c r="J7" i="1"/>
  <c r="J8" i="1"/>
  <c r="J9" i="1"/>
  <c r="J13" i="1"/>
  <c r="J14" i="1"/>
  <c r="J15" i="1"/>
  <c r="J16" i="1"/>
  <c r="J17" i="1"/>
  <c r="J18" i="1"/>
  <c r="J19" i="1"/>
  <c r="J20" i="1"/>
  <c r="N2" i="1"/>
  <c r="J2" i="1"/>
  <c r="M14" i="1"/>
  <c r="M15" i="1"/>
  <c r="M16" i="1"/>
  <c r="M17" i="1"/>
  <c r="M18" i="1"/>
  <c r="M19" i="1"/>
  <c r="M20" i="1"/>
  <c r="M13" i="1"/>
  <c r="M3" i="1"/>
  <c r="M4" i="1"/>
  <c r="M5" i="1"/>
  <c r="M6" i="1"/>
  <c r="M7" i="1"/>
  <c r="M8" i="1"/>
  <c r="M9" i="1"/>
</calcChain>
</file>

<file path=xl/sharedStrings.xml><?xml version="1.0" encoding="utf-8"?>
<sst xmlns="http://schemas.openxmlformats.org/spreadsheetml/2006/main" count="281" uniqueCount="141">
  <si>
    <t>plate1_1mM_luc.tif:0206-0063</t>
  </si>
  <si>
    <t>plate1_1mM_luc.tif:0231-0120</t>
  </si>
  <si>
    <t>plate1_1mM_luc.tif:0230-0182</t>
  </si>
  <si>
    <t>plate1_1mM_luc.tif:0226-0233</t>
  </si>
  <si>
    <t>plate1_1mM_luc.tif:0234-0288</t>
  </si>
  <si>
    <t>plate1_1mM_luc.tif:0218-0353</t>
  </si>
  <si>
    <t>plate1_1mM_luc.tif:0236-0406</t>
  </si>
  <si>
    <t>plate1_1mM_luc.tif:0225-0460</t>
  </si>
  <si>
    <t>plate1_1mM_luc.tif:0385-0198</t>
  </si>
  <si>
    <t>plate1_1mM_luc.tif:0231-0316</t>
  </si>
  <si>
    <t>plate1_1mM_luc.tif:0087-0198</t>
  </si>
  <si>
    <t>label</t>
  </si>
  <si>
    <t>area</t>
  </si>
  <si>
    <t>mean</t>
  </si>
  <si>
    <t>intDen</t>
  </si>
  <si>
    <t>median</t>
  </si>
  <si>
    <t>rawIntDen</t>
  </si>
  <si>
    <t>slice</t>
  </si>
  <si>
    <t>sample</t>
  </si>
  <si>
    <t>seedling_1</t>
  </si>
  <si>
    <t>seedling_2</t>
  </si>
  <si>
    <t>seedling_3</t>
  </si>
  <si>
    <t>seedling_4</t>
  </si>
  <si>
    <t>seedling_5</t>
  </si>
  <si>
    <t>seedling_6</t>
  </si>
  <si>
    <t>seedling_7</t>
  </si>
  <si>
    <t>seedling_8</t>
  </si>
  <si>
    <t>background_1</t>
  </si>
  <si>
    <t>background_2</t>
  </si>
  <si>
    <t>background_3</t>
  </si>
  <si>
    <t>rawIntDen_norm_background</t>
  </si>
  <si>
    <t>plate2_1mM_luc.tif:0227-0047</t>
  </si>
  <si>
    <t>plate2_1mM_luc.tif:0223-0109</t>
  </si>
  <si>
    <t>plate2_1mM_luc.tif:0256-0148</t>
  </si>
  <si>
    <t>plate2_1mM_luc.tif:0234-0231</t>
  </si>
  <si>
    <t>plate2_1mM_luc.tif:0207-0278</t>
  </si>
  <si>
    <t>plate2_1mM_luc.tif:0237-0335</t>
  </si>
  <si>
    <t>plate2_1mM_luc.tif:0239-0395</t>
  </si>
  <si>
    <t>plate2_1mM_luc.tif:0212-0446</t>
  </si>
  <si>
    <t>plate2_1mM_luc.tif:0208-0478</t>
  </si>
  <si>
    <t>plate2_1mM_luc.tif:0389-0308</t>
  </si>
  <si>
    <t>plate2_1mM_luc.tif:0097-0160</t>
  </si>
  <si>
    <t>rawIntDen_norm_background_norm_rootLength</t>
  </si>
  <si>
    <t>length_pixels</t>
  </si>
  <si>
    <t>length_mm</t>
  </si>
  <si>
    <t>plate3_1mM_luc.tif:0201-0064</t>
  </si>
  <si>
    <t>plate3_1mM_luc.tif:0216-0121</t>
  </si>
  <si>
    <t>plate3_1mM_luc.tif:0198-0179</t>
  </si>
  <si>
    <t>plate3_1mM_luc.tif:0181-0237</t>
  </si>
  <si>
    <t>plate3_1mM_luc.tif:0206-0294</t>
  </si>
  <si>
    <t>plate3_1mM_luc.tif:0214-0346</t>
  </si>
  <si>
    <t>plate3_1mM_luc.tif:0215-0405</t>
  </si>
  <si>
    <t>plate3_1mM_luc.tif:0215-0471</t>
  </si>
  <si>
    <t>plate3_1mM_luc.tif:0345-0318</t>
  </si>
  <si>
    <t>plate3_1mM_luc.tif:0207-0159</t>
  </si>
  <si>
    <t>plate3_1mM_luc.tif:0082-0163</t>
  </si>
  <si>
    <t>plate4_1mM_luc.tif:0169-0064</t>
  </si>
  <si>
    <t>plate4_1mM_luc.tif:0176-0110</t>
  </si>
  <si>
    <t>plate4_1mM_luc.tif:0184-0166</t>
  </si>
  <si>
    <t>plate4_1mM_luc.tif:0198-0234</t>
  </si>
  <si>
    <t>plate4_1mM_luc.tif:0182-0280</t>
  </si>
  <si>
    <t>plate4_1mM_luc.tif:0226-0344</t>
  </si>
  <si>
    <t>plate4_1mM_luc.tif:0219-0392</t>
  </si>
  <si>
    <t>plate4_1mM_luc.tif:0231-0444</t>
  </si>
  <si>
    <t>plate4_1mM_luc.tif:0314-0152</t>
  </si>
  <si>
    <t>plate4_1mM_luc.tif:0196-0202</t>
  </si>
  <si>
    <t>plate4_1mM_luc.tif:0087-0372</t>
  </si>
  <si>
    <t>KNO3</t>
  </si>
  <si>
    <t>1mM</t>
  </si>
  <si>
    <t>plate1_10mM_luc.tif:0212-0056</t>
  </si>
  <si>
    <t>plate1_10mM_luc.tif:0220-0124</t>
  </si>
  <si>
    <t>plate1_10mM_luc.tif:0209-0174</t>
  </si>
  <si>
    <t>plate1_10mM_luc.tif:0186-0233</t>
  </si>
  <si>
    <t>plate1_10mM_luc.tif:0230-0292</t>
  </si>
  <si>
    <t>plate1_10mM_luc.tif:0195-0353</t>
  </si>
  <si>
    <t>plate1_10mM_luc.tif:0207-0405</t>
  </si>
  <si>
    <t>plate1_10mM_luc.tif:0214-0455</t>
  </si>
  <si>
    <t>plate1_10mM_luc.tif:0239-0205</t>
  </si>
  <si>
    <t>plate1_10mM_luc.tif:0059-0292</t>
  </si>
  <si>
    <t>plate1_10mM_luc.tif:0362-0137</t>
  </si>
  <si>
    <t>10mM</t>
  </si>
  <si>
    <t>plate2_10mM_luc.tif:0221-0041</t>
  </si>
  <si>
    <t>plate2_10mM_luc.tif:0210-0104</t>
  </si>
  <si>
    <t>plate2_10mM_luc.tif:0243-0164</t>
  </si>
  <si>
    <t>plate2_10mM_luc.tif:0232-0222</t>
  </si>
  <si>
    <t>plate2_10mM_luc.tif:0241-0275</t>
  </si>
  <si>
    <t>plate2_10mM_luc.tif:0224-0337</t>
  </si>
  <si>
    <t>plate2_10mM_luc.tif:0231-0400</t>
  </si>
  <si>
    <t>plate2_10mM_luc.tif:0232-0447</t>
  </si>
  <si>
    <t>plate2_10mM_luc.tif:0095-0270</t>
  </si>
  <si>
    <t>plate2_10mM_luc.tif:0382-0147</t>
  </si>
  <si>
    <t>plate2_10mM_luc.tif:0236-0476</t>
  </si>
  <si>
    <t>plate3_10mM_luc.tif:0213-0068</t>
  </si>
  <si>
    <t>plate3_10mM_luc.tif:0227-0110</t>
  </si>
  <si>
    <t>plate3_10mM_luc.tif:0225-0167</t>
  </si>
  <si>
    <t>plate3_10mM_luc.tif:0236-0218</t>
  </si>
  <si>
    <t>plate3_10mM_luc.tif:0231-0287</t>
  </si>
  <si>
    <t>plate3_10mM_luc.tif:0211-0345</t>
  </si>
  <si>
    <t>plate3_10mM_luc.tif:0223-0400</t>
  </si>
  <si>
    <t>plate3_10mM_luc.tif:0241-0442</t>
  </si>
  <si>
    <t>plate3_10mM_luc.tif:0237-0249</t>
  </si>
  <si>
    <t>plate3_10mM_luc.tif:0096-0160</t>
  </si>
  <si>
    <t>plate3_10mM_luc.tif:0371-0322</t>
  </si>
  <si>
    <t>plate4_10mM_luc.tif:0214-0069</t>
  </si>
  <si>
    <t>plate4_10mM_luc.tif:0215-0119</t>
  </si>
  <si>
    <t>plate4_10mM_luc.tif:0248-0167</t>
  </si>
  <si>
    <t>plate4_10mM_luc.tif:0208-0233</t>
  </si>
  <si>
    <t>plate4_10mM_luc.tif:0222-0360</t>
  </si>
  <si>
    <t>plate4_10mM_luc.tif:0257-0410</t>
  </si>
  <si>
    <t>plate4_10mM_luc.tif:0215-0462</t>
  </si>
  <si>
    <t>plate4_10mM_luc.tif:0235-0256</t>
  </si>
  <si>
    <t>plate4_10mM_luc.tif:0082-0148</t>
  </si>
  <si>
    <t>plate4_10mM_luc.tif:0384-0322</t>
  </si>
  <si>
    <t>seedling_9</t>
  </si>
  <si>
    <t>seedling_10</t>
  </si>
  <si>
    <t>seedling_11</t>
  </si>
  <si>
    <t>seedling_12</t>
  </si>
  <si>
    <t>seedling_13</t>
  </si>
  <si>
    <t>seedling_14</t>
  </si>
  <si>
    <t>seedling_15</t>
  </si>
  <si>
    <t>seedling_16</t>
  </si>
  <si>
    <t>seedling_17</t>
  </si>
  <si>
    <t>seedling_18</t>
  </si>
  <si>
    <t>seedling_19</t>
  </si>
  <si>
    <t>seedling_20</t>
  </si>
  <si>
    <t>seedling_21</t>
  </si>
  <si>
    <t>seedling_22</t>
  </si>
  <si>
    <t>seedling_23</t>
  </si>
  <si>
    <t>seedling_24</t>
  </si>
  <si>
    <t>seedling_25</t>
  </si>
  <si>
    <t>seedling_26</t>
  </si>
  <si>
    <t>seedling_27</t>
  </si>
  <si>
    <t>seedling_28</t>
  </si>
  <si>
    <t>seedling_29</t>
  </si>
  <si>
    <t>seedling_30</t>
  </si>
  <si>
    <t>seedling_31</t>
  </si>
  <si>
    <t>seedling_32</t>
  </si>
  <si>
    <t>average</t>
  </si>
  <si>
    <t>STD</t>
  </si>
  <si>
    <t>CV</t>
  </si>
  <si>
    <t>CV2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</si>
</sst>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E4762-1FA0-CA4C-A825-8210CE6358AD}">
  <dimension ref="A1:N94"/>
  <sheetViews>
    <sheetView tabSelected="1" topLeftCell="A34" workbookViewId="0">
      <selection activeCell="K15" sqref="K15"/>
    </sheetView>
  </sheetViews>
  <sheetFormatPr baseColWidth="10" defaultRowHeight="16" x14ac:dyDescent="0.2"/>
  <cols>
    <col min="2" max="2" width="27" bestFit="1" customWidth="1"/>
    <col min="9" max="9" width="12" bestFit="1" customWidth="1"/>
    <col min="10" max="10" width="12" customWidth="1"/>
    <col min="11" max="11" width="18.6640625" bestFit="1" customWidth="1"/>
    <col min="12" max="12" width="18.6640625" customWidth="1"/>
  </cols>
  <sheetData>
    <row r="1" spans="1:14" x14ac:dyDescent="0.2"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43</v>
      </c>
      <c r="J1" t="s">
        <v>44</v>
      </c>
      <c r="K1" t="s">
        <v>18</v>
      </c>
      <c r="L1" t="s">
        <v>67</v>
      </c>
      <c r="M1" t="s">
        <v>30</v>
      </c>
      <c r="N1" t="s">
        <v>42</v>
      </c>
    </row>
    <row r="2" spans="1:14" x14ac:dyDescent="0.2">
      <c r="A2">
        <v>1</v>
      </c>
      <c r="B2" t="s">
        <v>0</v>
      </c>
      <c r="C2">
        <v>1810</v>
      </c>
      <c r="D2">
        <v>309.60599999999999</v>
      </c>
      <c r="E2">
        <v>560386.04099999997</v>
      </c>
      <c r="F2">
        <v>290.27999999999997</v>
      </c>
      <c r="G2">
        <v>560386.04099999997</v>
      </c>
      <c r="H2">
        <v>1</v>
      </c>
      <c r="I2">
        <v>179.99299999999999</v>
      </c>
      <c r="J2" s="1">
        <f>I2/4.95</f>
        <v>36.362222222222222</v>
      </c>
      <c r="K2" t="s">
        <v>19</v>
      </c>
      <c r="L2" t="s">
        <v>68</v>
      </c>
      <c r="M2" s="1">
        <f>G2-(((G$10/C$10*C2)+(G$11/C$11*C2)+(G$12/C$12*C2))/3)</f>
        <v>45222.980915213877</v>
      </c>
      <c r="N2" s="1">
        <f t="shared" ref="N2:N9" si="0">M2/J2</f>
        <v>1243.6803405149572</v>
      </c>
    </row>
    <row r="3" spans="1:14" x14ac:dyDescent="0.2">
      <c r="A3">
        <v>2</v>
      </c>
      <c r="B3" t="s">
        <v>1</v>
      </c>
      <c r="C3">
        <v>2310</v>
      </c>
      <c r="D3">
        <v>334.15100000000001</v>
      </c>
      <c r="E3">
        <v>771889.15399999998</v>
      </c>
      <c r="F3">
        <v>303.10599999999999</v>
      </c>
      <c r="G3">
        <v>771889.15399999998</v>
      </c>
      <c r="H3">
        <v>1</v>
      </c>
      <c r="I3">
        <v>229.971</v>
      </c>
      <c r="J3" s="1">
        <f t="shared" ref="J3:J64" si="1">I3/4.95</f>
        <v>46.458787878787881</v>
      </c>
      <c r="K3" t="s">
        <v>20</v>
      </c>
      <c r="L3" t="s">
        <v>68</v>
      </c>
      <c r="M3" s="1">
        <f t="shared" ref="M3:M9" si="2">G3-(((G$10/C$10*C3)+(G$11/C$11*C3)+(G$12/C$12*C3))/3)</f>
        <v>114415.85632273159</v>
      </c>
      <c r="N3" s="1">
        <f t="shared" si="0"/>
        <v>2462.738731394486</v>
      </c>
    </row>
    <row r="4" spans="1:14" x14ac:dyDescent="0.2">
      <c r="A4">
        <v>3</v>
      </c>
      <c r="B4" t="s">
        <v>2</v>
      </c>
      <c r="C4">
        <v>2220</v>
      </c>
      <c r="D4">
        <v>334.09199999999998</v>
      </c>
      <c r="E4">
        <v>741684.38500000001</v>
      </c>
      <c r="F4">
        <v>304.01400000000001</v>
      </c>
      <c r="G4">
        <v>741684.38500000001</v>
      </c>
      <c r="H4">
        <v>1</v>
      </c>
      <c r="I4">
        <v>220.98500000000001</v>
      </c>
      <c r="J4" s="1">
        <f t="shared" si="1"/>
        <v>44.643434343434343</v>
      </c>
      <c r="K4" t="s">
        <v>21</v>
      </c>
      <c r="L4" t="s">
        <v>68</v>
      </c>
      <c r="M4" s="1">
        <f t="shared" si="2"/>
        <v>109826.93008937838</v>
      </c>
      <c r="N4" s="1">
        <f t="shared" si="0"/>
        <v>2460.0914267593862</v>
      </c>
    </row>
    <row r="5" spans="1:14" x14ac:dyDescent="0.2">
      <c r="A5">
        <v>4</v>
      </c>
      <c r="B5" t="s">
        <v>3</v>
      </c>
      <c r="C5">
        <v>2070</v>
      </c>
      <c r="D5">
        <v>327.03100000000001</v>
      </c>
      <c r="E5">
        <v>676953.20700000005</v>
      </c>
      <c r="F5">
        <v>300.959</v>
      </c>
      <c r="G5">
        <v>676953.20700000005</v>
      </c>
      <c r="H5">
        <v>1</v>
      </c>
      <c r="I5">
        <v>205.99600000000001</v>
      </c>
      <c r="J5" s="1">
        <f t="shared" si="1"/>
        <v>41.615353535353535</v>
      </c>
      <c r="K5" t="s">
        <v>22</v>
      </c>
      <c r="L5" t="s">
        <v>68</v>
      </c>
      <c r="M5" s="1">
        <f t="shared" si="2"/>
        <v>87788.823367123143</v>
      </c>
      <c r="N5" s="1">
        <f t="shared" si="0"/>
        <v>2109.5296785726887</v>
      </c>
    </row>
    <row r="6" spans="1:14" x14ac:dyDescent="0.2">
      <c r="A6">
        <v>5</v>
      </c>
      <c r="B6" t="s">
        <v>4</v>
      </c>
      <c r="C6">
        <v>2200</v>
      </c>
      <c r="D6">
        <v>343.00700000000001</v>
      </c>
      <c r="E6">
        <v>754616.45499999996</v>
      </c>
      <c r="F6">
        <v>309.21100000000001</v>
      </c>
      <c r="G6">
        <v>754616.45499999996</v>
      </c>
      <c r="H6">
        <v>1</v>
      </c>
      <c r="I6">
        <v>218.97900000000001</v>
      </c>
      <c r="J6" s="1">
        <f t="shared" si="1"/>
        <v>44.238181818181822</v>
      </c>
      <c r="K6" t="s">
        <v>23</v>
      </c>
      <c r="L6" t="s">
        <v>68</v>
      </c>
      <c r="M6" s="1">
        <f t="shared" si="2"/>
        <v>128451.40959307773</v>
      </c>
      <c r="N6" s="1">
        <f t="shared" si="0"/>
        <v>2903.6322089594651</v>
      </c>
    </row>
    <row r="7" spans="1:14" x14ac:dyDescent="0.2">
      <c r="A7">
        <v>6</v>
      </c>
      <c r="B7" t="s">
        <v>5</v>
      </c>
      <c r="C7">
        <v>1940</v>
      </c>
      <c r="D7">
        <v>345.625</v>
      </c>
      <c r="E7">
        <v>670513.24199999997</v>
      </c>
      <c r="F7">
        <v>312.959</v>
      </c>
      <c r="G7">
        <v>670513.24199999997</v>
      </c>
      <c r="H7">
        <v>1</v>
      </c>
      <c r="I7">
        <v>192.983</v>
      </c>
      <c r="J7" s="1">
        <f t="shared" si="1"/>
        <v>38.986464646464647</v>
      </c>
      <c r="K7" t="s">
        <v>24</v>
      </c>
      <c r="L7" t="s">
        <v>68</v>
      </c>
      <c r="M7" s="1">
        <f t="shared" si="2"/>
        <v>118349.5201411685</v>
      </c>
      <c r="N7" s="1">
        <f t="shared" si="0"/>
        <v>3035.6566365886324</v>
      </c>
    </row>
    <row r="8" spans="1:14" x14ac:dyDescent="0.2">
      <c r="A8">
        <v>7</v>
      </c>
      <c r="B8" t="s">
        <v>6</v>
      </c>
      <c r="C8">
        <v>2210</v>
      </c>
      <c r="D8">
        <v>339.20400000000001</v>
      </c>
      <c r="E8">
        <v>749640.83</v>
      </c>
      <c r="F8">
        <v>306.798</v>
      </c>
      <c r="G8">
        <v>749640.83</v>
      </c>
      <c r="H8">
        <v>1</v>
      </c>
      <c r="I8">
        <v>219.976</v>
      </c>
      <c r="J8" s="1">
        <f t="shared" si="1"/>
        <v>44.439595959595955</v>
      </c>
      <c r="K8" t="s">
        <v>25</v>
      </c>
      <c r="L8" t="s">
        <v>68</v>
      </c>
      <c r="M8" s="1">
        <f t="shared" si="2"/>
        <v>120629.57984122797</v>
      </c>
      <c r="N8" s="1">
        <f t="shared" si="0"/>
        <v>2714.4616695188497</v>
      </c>
    </row>
    <row r="9" spans="1:14" x14ac:dyDescent="0.2">
      <c r="A9">
        <v>8</v>
      </c>
      <c r="B9" t="s">
        <v>7</v>
      </c>
      <c r="C9">
        <v>2130</v>
      </c>
      <c r="D9">
        <v>326.75099999999998</v>
      </c>
      <c r="E9">
        <v>695979.09600000002</v>
      </c>
      <c r="F9">
        <v>297.72699999999998</v>
      </c>
      <c r="G9">
        <v>695979.09600000002</v>
      </c>
      <c r="H9">
        <v>1</v>
      </c>
      <c r="I9">
        <v>211.99</v>
      </c>
      <c r="J9" s="1">
        <f t="shared" si="1"/>
        <v>42.826262626262626</v>
      </c>
      <c r="K9" t="s">
        <v>26</v>
      </c>
      <c r="L9" t="s">
        <v>68</v>
      </c>
      <c r="M9" s="1">
        <f t="shared" si="2"/>
        <v>89737.483856025268</v>
      </c>
      <c r="N9" s="1">
        <f t="shared" si="0"/>
        <v>2095.384428922709</v>
      </c>
    </row>
    <row r="10" spans="1:14" x14ac:dyDescent="0.2">
      <c r="A10">
        <v>9</v>
      </c>
      <c r="B10" t="s">
        <v>8</v>
      </c>
      <c r="C10">
        <v>2240</v>
      </c>
      <c r="D10">
        <v>283.76</v>
      </c>
      <c r="E10">
        <v>635621.83900000004</v>
      </c>
      <c r="F10">
        <v>283.75599999999997</v>
      </c>
      <c r="G10">
        <v>635621.83900000004</v>
      </c>
      <c r="H10">
        <v>1</v>
      </c>
      <c r="I10">
        <v>222.999</v>
      </c>
      <c r="J10" s="1"/>
      <c r="K10" t="s">
        <v>27</v>
      </c>
      <c r="L10" t="s">
        <v>68</v>
      </c>
      <c r="N10" s="1"/>
    </row>
    <row r="11" spans="1:14" x14ac:dyDescent="0.2">
      <c r="A11">
        <v>10</v>
      </c>
      <c r="B11" t="s">
        <v>9</v>
      </c>
      <c r="C11">
        <v>2150</v>
      </c>
      <c r="D11">
        <v>285.94799999999998</v>
      </c>
      <c r="E11">
        <v>614787.21299999999</v>
      </c>
      <c r="F11">
        <v>285.93400000000003</v>
      </c>
      <c r="G11">
        <v>614787.21299999999</v>
      </c>
      <c r="H11">
        <v>1</v>
      </c>
      <c r="I11">
        <v>214</v>
      </c>
      <c r="J11" s="1"/>
      <c r="K11" t="s">
        <v>28</v>
      </c>
      <c r="L11" t="s">
        <v>68</v>
      </c>
      <c r="N11" s="1"/>
    </row>
    <row r="12" spans="1:14" x14ac:dyDescent="0.2">
      <c r="A12">
        <v>11</v>
      </c>
      <c r="B12" t="s">
        <v>10</v>
      </c>
      <c r="C12">
        <v>2110</v>
      </c>
      <c r="D12">
        <v>284.154</v>
      </c>
      <c r="E12">
        <v>599565.22499999998</v>
      </c>
      <c r="F12">
        <v>284.11099999999999</v>
      </c>
      <c r="G12">
        <v>599565.22499999998</v>
      </c>
      <c r="H12">
        <v>1</v>
      </c>
      <c r="I12">
        <v>210</v>
      </c>
      <c r="J12" s="1"/>
      <c r="K12" t="s">
        <v>29</v>
      </c>
      <c r="L12" t="s">
        <v>68</v>
      </c>
      <c r="N12" s="1"/>
    </row>
    <row r="13" spans="1:14" x14ac:dyDescent="0.2">
      <c r="A13">
        <v>1</v>
      </c>
      <c r="B13" t="s">
        <v>31</v>
      </c>
      <c r="C13">
        <v>2040</v>
      </c>
      <c r="D13">
        <v>315.476</v>
      </c>
      <c r="E13">
        <v>643570.51300000004</v>
      </c>
      <c r="F13">
        <v>293.81400000000002</v>
      </c>
      <c r="G13">
        <v>643570.51300000004</v>
      </c>
      <c r="H13">
        <v>1</v>
      </c>
      <c r="I13">
        <v>202.99</v>
      </c>
      <c r="J13" s="1">
        <f t="shared" si="1"/>
        <v>41.008080808080805</v>
      </c>
      <c r="K13" t="s">
        <v>113</v>
      </c>
      <c r="L13" t="s">
        <v>68</v>
      </c>
      <c r="M13" s="1">
        <f>G13-(((G$21/C$21*C13)+(G$22/C$22*C13)+(G$23/C$23*C13))/3)</f>
        <v>60700.067442202126</v>
      </c>
      <c r="N13" s="1">
        <f t="shared" ref="N13:N20" si="3">M13/J13</f>
        <v>1480.1977133794794</v>
      </c>
    </row>
    <row r="14" spans="1:14" x14ac:dyDescent="0.2">
      <c r="A14">
        <v>2</v>
      </c>
      <c r="B14" t="s">
        <v>32</v>
      </c>
      <c r="C14">
        <v>1880</v>
      </c>
      <c r="D14">
        <v>306.29300000000001</v>
      </c>
      <c r="E14">
        <v>575830.85100000002</v>
      </c>
      <c r="F14">
        <v>293.13900000000001</v>
      </c>
      <c r="G14">
        <v>575830.85100000002</v>
      </c>
      <c r="H14">
        <v>1</v>
      </c>
      <c r="I14">
        <v>186.99</v>
      </c>
      <c r="J14" s="1">
        <f t="shared" si="1"/>
        <v>37.775757575757574</v>
      </c>
      <c r="K14" t="s">
        <v>114</v>
      </c>
      <c r="L14" t="s">
        <v>68</v>
      </c>
      <c r="M14" s="1">
        <f t="shared" ref="M14:M20" si="4">G14-(((G$21/C$21*C14)+(G$22/C$22*C14)+(G$23/C$23*C14))/3)</f>
        <v>38675.734505558736</v>
      </c>
      <c r="N14" s="1">
        <f t="shared" si="3"/>
        <v>1023.8241927510335</v>
      </c>
    </row>
    <row r="15" spans="1:14" x14ac:dyDescent="0.2">
      <c r="A15">
        <v>3</v>
      </c>
      <c r="B15" t="s">
        <v>33</v>
      </c>
      <c r="C15">
        <v>2640</v>
      </c>
      <c r="D15">
        <v>334.21699999999998</v>
      </c>
      <c r="E15">
        <v>882331.90800000005</v>
      </c>
      <c r="F15">
        <v>305.827</v>
      </c>
      <c r="G15">
        <v>882331.90800000005</v>
      </c>
      <c r="H15">
        <v>1</v>
      </c>
      <c r="I15">
        <v>262.98399999999998</v>
      </c>
      <c r="J15" s="1">
        <f t="shared" si="1"/>
        <v>53.128080808080803</v>
      </c>
      <c r="K15" t="s">
        <v>115</v>
      </c>
      <c r="L15" t="s">
        <v>68</v>
      </c>
      <c r="M15" s="1">
        <f t="shared" si="4"/>
        <v>128028.97845461441</v>
      </c>
      <c r="N15" s="1">
        <f t="shared" si="3"/>
        <v>2409.817492130097</v>
      </c>
    </row>
    <row r="16" spans="1:14" x14ac:dyDescent="0.2">
      <c r="A16">
        <v>4</v>
      </c>
      <c r="B16" t="s">
        <v>34</v>
      </c>
      <c r="C16">
        <v>2060</v>
      </c>
      <c r="D16">
        <v>326.10599999999999</v>
      </c>
      <c r="E16">
        <v>671778.96</v>
      </c>
      <c r="F16">
        <v>301.47199999999998</v>
      </c>
      <c r="G16">
        <v>671778.96</v>
      </c>
      <c r="H16">
        <v>1</v>
      </c>
      <c r="I16">
        <v>204.99100000000001</v>
      </c>
      <c r="J16" s="1">
        <f t="shared" si="1"/>
        <v>41.412323232323232</v>
      </c>
      <c r="K16" t="s">
        <v>116</v>
      </c>
      <c r="L16" t="s">
        <v>68</v>
      </c>
      <c r="M16" s="1">
        <f t="shared" si="4"/>
        <v>83194.098309282446</v>
      </c>
      <c r="N16" s="1">
        <f t="shared" si="3"/>
        <v>2008.9213020617885</v>
      </c>
    </row>
    <row r="17" spans="1:14" x14ac:dyDescent="0.2">
      <c r="A17">
        <v>5</v>
      </c>
      <c r="B17" t="s">
        <v>35</v>
      </c>
      <c r="C17">
        <v>1670</v>
      </c>
      <c r="D17">
        <v>304.97800000000001</v>
      </c>
      <c r="E17">
        <v>509313.11599999998</v>
      </c>
      <c r="F17">
        <v>293.608</v>
      </c>
      <c r="G17">
        <v>509313.11599999998</v>
      </c>
      <c r="H17">
        <v>1</v>
      </c>
      <c r="I17">
        <v>165.99600000000001</v>
      </c>
      <c r="J17" s="1">
        <f t="shared" si="1"/>
        <v>33.534545454545459</v>
      </c>
      <c r="K17" t="s">
        <v>117</v>
      </c>
      <c r="L17" t="s">
        <v>68</v>
      </c>
      <c r="M17" s="1">
        <f t="shared" si="4"/>
        <v>32159.368901214388</v>
      </c>
      <c r="N17" s="1">
        <f t="shared" si="3"/>
        <v>958.99224114443234</v>
      </c>
    </row>
    <row r="18" spans="1:14" x14ac:dyDescent="0.2">
      <c r="A18">
        <v>6</v>
      </c>
      <c r="B18" t="s">
        <v>36</v>
      </c>
      <c r="C18">
        <v>2190</v>
      </c>
      <c r="D18">
        <v>331.09500000000003</v>
      </c>
      <c r="E18">
        <v>725097.83600000001</v>
      </c>
      <c r="F18">
        <v>302.483</v>
      </c>
      <c r="G18">
        <v>725097.83600000001</v>
      </c>
      <c r="H18">
        <v>1</v>
      </c>
      <c r="I18">
        <v>217.99199999999999</v>
      </c>
      <c r="J18" s="1">
        <f t="shared" si="1"/>
        <v>44.038787878787872</v>
      </c>
      <c r="K18" t="s">
        <v>118</v>
      </c>
      <c r="L18" t="s">
        <v>68</v>
      </c>
      <c r="M18" s="1">
        <f t="shared" si="4"/>
        <v>99369.269445305108</v>
      </c>
      <c r="N18" s="1">
        <f t="shared" si="3"/>
        <v>2256.4033714735419</v>
      </c>
    </row>
    <row r="19" spans="1:14" x14ac:dyDescent="0.2">
      <c r="A19">
        <v>7</v>
      </c>
      <c r="B19" t="s">
        <v>37</v>
      </c>
      <c r="C19">
        <v>2150</v>
      </c>
      <c r="D19">
        <v>327.63900000000001</v>
      </c>
      <c r="E19">
        <v>704422.95700000005</v>
      </c>
      <c r="F19">
        <v>304.80099999999999</v>
      </c>
      <c r="G19">
        <v>704422.95700000005</v>
      </c>
      <c r="H19">
        <v>1</v>
      </c>
      <c r="I19">
        <v>213.99199999999999</v>
      </c>
      <c r="J19" s="1">
        <f t="shared" si="1"/>
        <v>43.230707070707069</v>
      </c>
      <c r="K19" t="s">
        <v>119</v>
      </c>
      <c r="L19" t="s">
        <v>68</v>
      </c>
      <c r="M19" s="1">
        <f t="shared" si="4"/>
        <v>90123.222711144364</v>
      </c>
      <c r="N19" s="1">
        <f t="shared" si="3"/>
        <v>2084.7038787439001</v>
      </c>
    </row>
    <row r="20" spans="1:14" x14ac:dyDescent="0.2">
      <c r="A20">
        <v>8</v>
      </c>
      <c r="B20" t="s">
        <v>38</v>
      </c>
      <c r="C20">
        <v>1590</v>
      </c>
      <c r="D20">
        <v>304.697</v>
      </c>
      <c r="E20">
        <v>484468.49099999998</v>
      </c>
      <c r="F20">
        <v>292.67599999999999</v>
      </c>
      <c r="G20">
        <v>484468.49099999998</v>
      </c>
      <c r="H20">
        <v>1</v>
      </c>
      <c r="I20">
        <v>157.99199999999999</v>
      </c>
      <c r="J20" s="1">
        <f t="shared" si="1"/>
        <v>31.917575757575754</v>
      </c>
      <c r="K20" t="s">
        <v>120</v>
      </c>
      <c r="L20" t="s">
        <v>68</v>
      </c>
      <c r="M20" s="1">
        <f t="shared" si="4"/>
        <v>30172.408432892757</v>
      </c>
      <c r="N20" s="1">
        <f t="shared" si="3"/>
        <v>945.32268559686031</v>
      </c>
    </row>
    <row r="21" spans="1:14" x14ac:dyDescent="0.2">
      <c r="A21">
        <v>9</v>
      </c>
      <c r="B21" t="s">
        <v>39</v>
      </c>
      <c r="C21">
        <v>1590</v>
      </c>
      <c r="D21">
        <v>285.61900000000003</v>
      </c>
      <c r="E21">
        <v>454133.76000000001</v>
      </c>
      <c r="F21">
        <v>285.57100000000003</v>
      </c>
      <c r="G21">
        <v>454133.76000000001</v>
      </c>
      <c r="H21">
        <v>1</v>
      </c>
      <c r="I21">
        <v>158</v>
      </c>
      <c r="J21" s="1"/>
      <c r="K21" t="s">
        <v>27</v>
      </c>
      <c r="L21" t="s">
        <v>68</v>
      </c>
    </row>
    <row r="22" spans="1:14" x14ac:dyDescent="0.2">
      <c r="A22">
        <v>10</v>
      </c>
      <c r="B22" t="s">
        <v>40</v>
      </c>
      <c r="C22">
        <v>1790</v>
      </c>
      <c r="D22">
        <v>286.19499999999999</v>
      </c>
      <c r="E22">
        <v>512289.016</v>
      </c>
      <c r="F22">
        <v>286.15800000000002</v>
      </c>
      <c r="G22">
        <v>512289.016</v>
      </c>
      <c r="H22">
        <v>1</v>
      </c>
      <c r="I22">
        <v>177.999</v>
      </c>
      <c r="J22" s="1"/>
      <c r="K22" t="s">
        <v>28</v>
      </c>
      <c r="L22" t="s">
        <v>68</v>
      </c>
    </row>
    <row r="23" spans="1:14" x14ac:dyDescent="0.2">
      <c r="A23">
        <v>11</v>
      </c>
      <c r="B23" t="s">
        <v>41</v>
      </c>
      <c r="C23">
        <v>2050</v>
      </c>
      <c r="D23">
        <v>285.34899999999999</v>
      </c>
      <c r="E23">
        <v>584964.88</v>
      </c>
      <c r="F23">
        <v>285.339</v>
      </c>
      <c r="G23">
        <v>584964.88</v>
      </c>
      <c r="H23">
        <v>1</v>
      </c>
      <c r="I23">
        <v>204</v>
      </c>
      <c r="J23" s="1"/>
      <c r="K23" t="s">
        <v>29</v>
      </c>
      <c r="L23" t="s">
        <v>68</v>
      </c>
    </row>
    <row r="24" spans="1:14" x14ac:dyDescent="0.2">
      <c r="A24">
        <v>1</v>
      </c>
      <c r="B24" t="s">
        <v>45</v>
      </c>
      <c r="C24">
        <v>1830</v>
      </c>
      <c r="D24">
        <v>305.21199999999999</v>
      </c>
      <c r="E24">
        <v>558537.61499999999</v>
      </c>
      <c r="F24">
        <v>288.77</v>
      </c>
      <c r="G24">
        <v>558537.61499999999</v>
      </c>
      <c r="H24">
        <v>1</v>
      </c>
      <c r="I24">
        <v>181.976</v>
      </c>
      <c r="J24" s="1">
        <f t="shared" si="1"/>
        <v>36.762828282828281</v>
      </c>
      <c r="K24" t="s">
        <v>121</v>
      </c>
      <c r="L24" t="s">
        <v>68</v>
      </c>
      <c r="M24" s="1">
        <f>G24-(((G$32/C$32*C24)+(G$33/C$33*C24)+(G$34/C$34*C24))/3)</f>
        <v>37705.106756413647</v>
      </c>
      <c r="N24" s="1">
        <f t="shared" ref="N24:N31" si="5">M24/J24</f>
        <v>1025.6312834892929</v>
      </c>
    </row>
    <row r="25" spans="1:14" x14ac:dyDescent="0.2">
      <c r="A25">
        <v>2</v>
      </c>
      <c r="B25" t="s">
        <v>46</v>
      </c>
      <c r="C25">
        <v>2100</v>
      </c>
      <c r="D25">
        <v>318.90699999999998</v>
      </c>
      <c r="E25">
        <v>669705.70499999996</v>
      </c>
      <c r="F25">
        <v>297.14800000000002</v>
      </c>
      <c r="G25">
        <v>669705.70499999996</v>
      </c>
      <c r="H25">
        <v>1</v>
      </c>
      <c r="I25">
        <v>208.99100000000001</v>
      </c>
      <c r="J25" s="1">
        <f t="shared" si="1"/>
        <v>42.220404040404041</v>
      </c>
      <c r="K25" t="s">
        <v>122</v>
      </c>
      <c r="L25" t="s">
        <v>68</v>
      </c>
      <c r="M25" s="1">
        <f t="shared" ref="M25:M31" si="6">G25-(((G$32/C$32*C25)+(G$33/C$33*C25)+(G$34/C$34*C25))/3)</f>
        <v>72029.056195884477</v>
      </c>
      <c r="N25" s="1">
        <f t="shared" si="5"/>
        <v>1706.0247961377675</v>
      </c>
    </row>
    <row r="26" spans="1:14" x14ac:dyDescent="0.2">
      <c r="A26">
        <v>3</v>
      </c>
      <c r="B26" t="s">
        <v>47</v>
      </c>
      <c r="C26">
        <v>1780</v>
      </c>
      <c r="D26">
        <v>298.98599999999999</v>
      </c>
      <c r="E26">
        <v>532195.31299999997</v>
      </c>
      <c r="F26">
        <v>288.93099999999998</v>
      </c>
      <c r="G26">
        <v>532195.31299999997</v>
      </c>
      <c r="H26">
        <v>1</v>
      </c>
      <c r="I26">
        <v>176.994</v>
      </c>
      <c r="J26" s="1">
        <f t="shared" si="1"/>
        <v>35.756363636363638</v>
      </c>
      <c r="K26" t="s">
        <v>123</v>
      </c>
      <c r="L26" t="s">
        <v>68</v>
      </c>
      <c r="M26" s="1">
        <f t="shared" si="6"/>
        <v>25593.201156511612</v>
      </c>
      <c r="N26" s="1">
        <f t="shared" si="5"/>
        <v>715.76632950683347</v>
      </c>
    </row>
    <row r="27" spans="1:14" x14ac:dyDescent="0.2">
      <c r="A27">
        <v>4</v>
      </c>
      <c r="B27" t="s">
        <v>48</v>
      </c>
      <c r="C27">
        <v>1400</v>
      </c>
      <c r="D27">
        <v>290.49599999999998</v>
      </c>
      <c r="E27">
        <v>406694.408</v>
      </c>
      <c r="F27">
        <v>287.79199999999997</v>
      </c>
      <c r="G27">
        <v>406694.408</v>
      </c>
      <c r="H27">
        <v>1</v>
      </c>
      <c r="I27">
        <v>138.99799999999999</v>
      </c>
      <c r="J27" s="1">
        <f t="shared" si="1"/>
        <v>28.080404040404037</v>
      </c>
      <c r="K27" t="s">
        <v>124</v>
      </c>
      <c r="L27" t="s">
        <v>68</v>
      </c>
      <c r="M27" s="1">
        <f t="shared" si="6"/>
        <v>8243.3087972563226</v>
      </c>
      <c r="N27" s="1">
        <f t="shared" si="5"/>
        <v>293.56090408796388</v>
      </c>
    </row>
    <row r="28" spans="1:14" x14ac:dyDescent="0.2">
      <c r="A28">
        <v>5</v>
      </c>
      <c r="B28" t="s">
        <v>49</v>
      </c>
      <c r="C28">
        <v>1990</v>
      </c>
      <c r="D28">
        <v>320.04700000000003</v>
      </c>
      <c r="E28">
        <v>636892.55299999996</v>
      </c>
      <c r="F28">
        <v>297.84800000000001</v>
      </c>
      <c r="G28">
        <v>636892.55299999996</v>
      </c>
      <c r="H28">
        <v>1</v>
      </c>
      <c r="I28">
        <v>197.995</v>
      </c>
      <c r="J28" s="1">
        <f t="shared" si="1"/>
        <v>39.998989898989898</v>
      </c>
      <c r="K28" t="s">
        <v>125</v>
      </c>
      <c r="L28" t="s">
        <v>68</v>
      </c>
      <c r="M28" s="1">
        <f t="shared" si="6"/>
        <v>70522.776276100078</v>
      </c>
      <c r="N28" s="1">
        <f t="shared" si="5"/>
        <v>1763.113929981542</v>
      </c>
    </row>
    <row r="29" spans="1:14" x14ac:dyDescent="0.2">
      <c r="A29">
        <v>6</v>
      </c>
      <c r="B29" t="s">
        <v>50</v>
      </c>
      <c r="C29">
        <v>2070</v>
      </c>
      <c r="D29">
        <v>333.73099999999999</v>
      </c>
      <c r="E29">
        <v>690822.33799999999</v>
      </c>
      <c r="F29">
        <v>305.91800000000001</v>
      </c>
      <c r="G29">
        <v>690822.33799999999</v>
      </c>
      <c r="H29">
        <v>1</v>
      </c>
      <c r="I29">
        <v>205.98099999999999</v>
      </c>
      <c r="J29" s="1">
        <f t="shared" si="1"/>
        <v>41.612323232323227</v>
      </c>
      <c r="K29" t="s">
        <v>126</v>
      </c>
      <c r="L29" t="s">
        <v>68</v>
      </c>
      <c r="M29" s="1">
        <f t="shared" si="6"/>
        <v>101683.92703594337</v>
      </c>
      <c r="N29" s="1">
        <f t="shared" si="5"/>
        <v>2443.6012973425691</v>
      </c>
    </row>
    <row r="30" spans="1:14" x14ac:dyDescent="0.2">
      <c r="A30">
        <v>7</v>
      </c>
      <c r="B30" t="s">
        <v>51</v>
      </c>
      <c r="C30">
        <v>1960</v>
      </c>
      <c r="D30">
        <v>328.69</v>
      </c>
      <c r="E30">
        <v>644231.80599999998</v>
      </c>
      <c r="F30">
        <v>302.28300000000002</v>
      </c>
      <c r="G30">
        <v>644231.80599999998</v>
      </c>
      <c r="H30">
        <v>1</v>
      </c>
      <c r="I30">
        <v>194.994</v>
      </c>
      <c r="J30" s="1">
        <f t="shared" si="1"/>
        <v>39.392727272727271</v>
      </c>
      <c r="K30" t="s">
        <v>127</v>
      </c>
      <c r="L30" t="s">
        <v>68</v>
      </c>
      <c r="M30" s="1">
        <f t="shared" si="6"/>
        <v>86400.267116158851</v>
      </c>
      <c r="N30" s="1">
        <f t="shared" si="5"/>
        <v>2193.3050361805304</v>
      </c>
    </row>
    <row r="31" spans="1:14" x14ac:dyDescent="0.2">
      <c r="A31">
        <v>8</v>
      </c>
      <c r="B31" t="s">
        <v>52</v>
      </c>
      <c r="C31">
        <v>1930</v>
      </c>
      <c r="D31">
        <v>349.37400000000002</v>
      </c>
      <c r="E31">
        <v>674291.826</v>
      </c>
      <c r="F31">
        <v>308.28899999999999</v>
      </c>
      <c r="G31">
        <v>674291.826</v>
      </c>
      <c r="H31">
        <v>1</v>
      </c>
      <c r="I31">
        <v>191.977</v>
      </c>
      <c r="J31" s="1">
        <f t="shared" si="1"/>
        <v>38.783232323232326</v>
      </c>
      <c r="K31" t="s">
        <v>128</v>
      </c>
      <c r="L31" t="s">
        <v>68</v>
      </c>
      <c r="M31" s="1">
        <f t="shared" si="6"/>
        <v>124998.52495621773</v>
      </c>
      <c r="N31" s="1">
        <f t="shared" si="5"/>
        <v>3223.004310585527</v>
      </c>
    </row>
    <row r="32" spans="1:14" x14ac:dyDescent="0.2">
      <c r="A32">
        <v>9</v>
      </c>
      <c r="B32" t="s">
        <v>53</v>
      </c>
      <c r="C32">
        <v>2300</v>
      </c>
      <c r="D32">
        <v>284.96300000000002</v>
      </c>
      <c r="E32">
        <v>655414.86</v>
      </c>
      <c r="F32">
        <v>284.98099999999999</v>
      </c>
      <c r="G32">
        <v>655414.86</v>
      </c>
      <c r="H32">
        <v>1</v>
      </c>
      <c r="I32">
        <v>229</v>
      </c>
      <c r="J32" s="1"/>
      <c r="K32" t="s">
        <v>27</v>
      </c>
      <c r="L32" t="s">
        <v>68</v>
      </c>
      <c r="N32" s="1"/>
    </row>
    <row r="33" spans="1:14" x14ac:dyDescent="0.2">
      <c r="A33">
        <v>10</v>
      </c>
      <c r="B33" t="s">
        <v>54</v>
      </c>
      <c r="C33">
        <v>1980</v>
      </c>
      <c r="D33">
        <v>284.83800000000002</v>
      </c>
      <c r="E33">
        <v>563979.46100000001</v>
      </c>
      <c r="F33">
        <v>284.85300000000001</v>
      </c>
      <c r="G33">
        <v>563979.46100000001</v>
      </c>
      <c r="H33">
        <v>1</v>
      </c>
      <c r="I33">
        <v>197</v>
      </c>
      <c r="J33" s="1"/>
      <c r="K33" t="s">
        <v>28</v>
      </c>
      <c r="L33" t="s">
        <v>68</v>
      </c>
      <c r="N33" s="1"/>
    </row>
    <row r="34" spans="1:14" x14ac:dyDescent="0.2">
      <c r="A34">
        <v>11</v>
      </c>
      <c r="B34" t="s">
        <v>55</v>
      </c>
      <c r="C34">
        <v>1370</v>
      </c>
      <c r="D34">
        <v>284.02300000000002</v>
      </c>
      <c r="E34">
        <v>389111.08500000002</v>
      </c>
      <c r="F34">
        <v>284.03899999999999</v>
      </c>
      <c r="G34">
        <v>389111.08500000002</v>
      </c>
      <c r="H34">
        <v>1</v>
      </c>
      <c r="I34">
        <v>136</v>
      </c>
      <c r="J34" s="1"/>
      <c r="K34" t="s">
        <v>29</v>
      </c>
      <c r="L34" t="s">
        <v>68</v>
      </c>
      <c r="N34" s="1"/>
    </row>
    <row r="35" spans="1:14" x14ac:dyDescent="0.2">
      <c r="A35">
        <v>1</v>
      </c>
      <c r="B35" t="s">
        <v>56</v>
      </c>
      <c r="C35">
        <v>1440</v>
      </c>
      <c r="D35">
        <v>295.78199999999998</v>
      </c>
      <c r="E35">
        <v>425925.39</v>
      </c>
      <c r="F35">
        <v>286.86200000000002</v>
      </c>
      <c r="G35">
        <v>425925.39</v>
      </c>
      <c r="H35">
        <v>1</v>
      </c>
      <c r="I35">
        <v>142.98400000000001</v>
      </c>
      <c r="J35" s="1">
        <f t="shared" si="1"/>
        <v>28.885656565656568</v>
      </c>
      <c r="K35" t="s">
        <v>129</v>
      </c>
      <c r="L35" t="s">
        <v>68</v>
      </c>
      <c r="M35" s="1">
        <f>G35-(((G$43/C$43*C35)+(G$44/C$44*C35)+(G$45/C$45*C35))/3)</f>
        <v>17097.175164515036</v>
      </c>
      <c r="N35" s="1">
        <f>M35/J35</f>
        <v>591.89151978088057</v>
      </c>
    </row>
    <row r="36" spans="1:14" x14ac:dyDescent="0.2">
      <c r="A36">
        <v>2</v>
      </c>
      <c r="B36" t="s">
        <v>57</v>
      </c>
      <c r="C36">
        <v>1600</v>
      </c>
      <c r="D36">
        <v>301.76299999999998</v>
      </c>
      <c r="E36">
        <v>482820.80699999997</v>
      </c>
      <c r="F36">
        <v>289.28899999999999</v>
      </c>
      <c r="G36">
        <v>482820.80699999997</v>
      </c>
      <c r="H36">
        <v>1</v>
      </c>
      <c r="I36">
        <v>158.99199999999999</v>
      </c>
      <c r="J36" s="1">
        <f t="shared" si="1"/>
        <v>32.119595959595955</v>
      </c>
      <c r="K36" t="s">
        <v>130</v>
      </c>
      <c r="L36" t="s">
        <v>68</v>
      </c>
      <c r="M36" s="1">
        <f t="shared" ref="M36:M42" si="7">G36-(((G$43/C$43*C36)+(G$44/C$44*C36)+(G$45/C$45*C36))/3)</f>
        <v>28567.23496057227</v>
      </c>
      <c r="N36" s="1">
        <f t="shared" ref="N36:N53" si="8">M36/J36</f>
        <v>889.40206459968272</v>
      </c>
    </row>
    <row r="37" spans="1:14" x14ac:dyDescent="0.2">
      <c r="A37">
        <v>3</v>
      </c>
      <c r="B37" t="s">
        <v>58</v>
      </c>
      <c r="C37">
        <v>1630</v>
      </c>
      <c r="D37">
        <v>295.94900000000001</v>
      </c>
      <c r="E37">
        <v>482396.21399999998</v>
      </c>
      <c r="F37">
        <v>288.98599999999999</v>
      </c>
      <c r="G37">
        <v>482396.21399999998</v>
      </c>
      <c r="H37">
        <v>1</v>
      </c>
      <c r="I37">
        <v>161.99600000000001</v>
      </c>
      <c r="J37" s="1">
        <f t="shared" si="1"/>
        <v>32.726464646464649</v>
      </c>
      <c r="K37" t="s">
        <v>131</v>
      </c>
      <c r="L37" t="s">
        <v>68</v>
      </c>
      <c r="M37" s="1">
        <f t="shared" si="7"/>
        <v>19625.387484832958</v>
      </c>
      <c r="N37" s="1">
        <f t="shared" si="8"/>
        <v>599.67942449148825</v>
      </c>
    </row>
    <row r="38" spans="1:14" x14ac:dyDescent="0.2">
      <c r="A38">
        <v>4</v>
      </c>
      <c r="B38" t="s">
        <v>59</v>
      </c>
      <c r="C38">
        <v>2010</v>
      </c>
      <c r="D38">
        <v>330.59</v>
      </c>
      <c r="E38">
        <v>664486.603</v>
      </c>
      <c r="F38">
        <v>302.58499999999998</v>
      </c>
      <c r="G38">
        <v>664486.603</v>
      </c>
      <c r="H38">
        <v>1</v>
      </c>
      <c r="I38">
        <v>199.95599999999999</v>
      </c>
      <c r="J38" s="1">
        <f t="shared" si="1"/>
        <v>40.395151515151511</v>
      </c>
      <c r="K38" t="s">
        <v>132</v>
      </c>
      <c r="L38" t="s">
        <v>68</v>
      </c>
      <c r="M38" s="1">
        <f t="shared" si="7"/>
        <v>93830.553125468898</v>
      </c>
      <c r="N38" s="1">
        <f t="shared" si="8"/>
        <v>2322.8172096414764</v>
      </c>
    </row>
    <row r="39" spans="1:14" x14ac:dyDescent="0.2">
      <c r="A39">
        <v>5</v>
      </c>
      <c r="B39" t="s">
        <v>60</v>
      </c>
      <c r="C39">
        <v>1540</v>
      </c>
      <c r="D39">
        <v>299.149</v>
      </c>
      <c r="E39">
        <v>460688.71299999999</v>
      </c>
      <c r="F39">
        <v>290.7</v>
      </c>
      <c r="G39">
        <v>460688.71299999999</v>
      </c>
      <c r="H39">
        <v>1</v>
      </c>
      <c r="I39">
        <v>152.989</v>
      </c>
      <c r="J39" s="1">
        <f t="shared" si="1"/>
        <v>30.906868686868687</v>
      </c>
      <c r="K39" t="s">
        <v>133</v>
      </c>
      <c r="L39" t="s">
        <v>68</v>
      </c>
      <c r="M39" s="1">
        <f t="shared" si="7"/>
        <v>23469.649912050751</v>
      </c>
      <c r="N39" s="1">
        <f t="shared" si="8"/>
        <v>759.36679803548759</v>
      </c>
    </row>
    <row r="40" spans="1:14" x14ac:dyDescent="0.2">
      <c r="A40">
        <v>6</v>
      </c>
      <c r="B40" t="s">
        <v>61</v>
      </c>
      <c r="C40">
        <v>2260</v>
      </c>
      <c r="D40">
        <v>329.41800000000001</v>
      </c>
      <c r="E40">
        <v>744485.18200000003</v>
      </c>
      <c r="F40">
        <v>303.37599999999998</v>
      </c>
      <c r="G40">
        <v>744485.18200000003</v>
      </c>
      <c r="H40">
        <v>1</v>
      </c>
      <c r="I40">
        <v>224.98</v>
      </c>
      <c r="J40" s="1">
        <f t="shared" si="1"/>
        <v>45.450505050505043</v>
      </c>
      <c r="K40" t="s">
        <v>134</v>
      </c>
      <c r="L40" t="s">
        <v>68</v>
      </c>
      <c r="M40" s="1">
        <f t="shared" si="7"/>
        <v>102852.01149430836</v>
      </c>
      <c r="N40" s="1">
        <f t="shared" si="8"/>
        <v>2262.9454035773247</v>
      </c>
    </row>
    <row r="41" spans="1:14" x14ac:dyDescent="0.2">
      <c r="A41">
        <v>7</v>
      </c>
      <c r="B41" t="s">
        <v>62</v>
      </c>
      <c r="C41">
        <v>2190</v>
      </c>
      <c r="D41">
        <v>324.09800000000001</v>
      </c>
      <c r="E41">
        <v>709774.63399999996</v>
      </c>
      <c r="F41">
        <v>300.19799999999998</v>
      </c>
      <c r="G41">
        <v>709774.63399999996</v>
      </c>
      <c r="H41">
        <v>1</v>
      </c>
      <c r="I41">
        <v>217.99100000000001</v>
      </c>
      <c r="J41" s="1">
        <f t="shared" si="1"/>
        <v>44.038585858585861</v>
      </c>
      <c r="K41" t="s">
        <v>135</v>
      </c>
      <c r="L41" t="s">
        <v>68</v>
      </c>
      <c r="M41" s="1">
        <f t="shared" si="7"/>
        <v>88015.057271033293</v>
      </c>
      <c r="N41" s="1">
        <f t="shared" si="8"/>
        <v>1998.5895449427489</v>
      </c>
    </row>
    <row r="42" spans="1:14" x14ac:dyDescent="0.2">
      <c r="A42">
        <v>8</v>
      </c>
      <c r="B42" t="s">
        <v>63</v>
      </c>
      <c r="C42">
        <v>2440</v>
      </c>
      <c r="D42">
        <v>323.54599999999999</v>
      </c>
      <c r="E42">
        <v>789452.51599999995</v>
      </c>
      <c r="F42">
        <v>297.93099999999998</v>
      </c>
      <c r="G42">
        <v>789452.51599999995</v>
      </c>
      <c r="H42">
        <v>1</v>
      </c>
      <c r="I42">
        <v>242.60400000000001</v>
      </c>
      <c r="J42" s="1">
        <f t="shared" si="1"/>
        <v>49.010909090909095</v>
      </c>
      <c r="K42" t="s">
        <v>136</v>
      </c>
      <c r="L42" t="s">
        <v>68</v>
      </c>
      <c r="M42" s="1">
        <f t="shared" si="7"/>
        <v>96715.818639872596</v>
      </c>
      <c r="N42" s="1">
        <f t="shared" si="8"/>
        <v>1973.3528806918653</v>
      </c>
    </row>
    <row r="43" spans="1:14" x14ac:dyDescent="0.2">
      <c r="A43">
        <v>9</v>
      </c>
      <c r="B43" t="s">
        <v>64</v>
      </c>
      <c r="C43">
        <v>1590</v>
      </c>
      <c r="D43">
        <v>283.64600000000002</v>
      </c>
      <c r="E43">
        <v>450997.24900000001</v>
      </c>
      <c r="F43">
        <v>283.64400000000001</v>
      </c>
      <c r="G43">
        <v>450997.24900000001</v>
      </c>
      <c r="H43">
        <v>1</v>
      </c>
      <c r="I43">
        <v>158</v>
      </c>
      <c r="J43" s="1"/>
      <c r="K43" t="s">
        <v>27</v>
      </c>
      <c r="L43" t="s">
        <v>68</v>
      </c>
      <c r="N43" s="1"/>
    </row>
    <row r="44" spans="1:14" x14ac:dyDescent="0.2">
      <c r="A44">
        <v>10</v>
      </c>
      <c r="B44" t="s">
        <v>65</v>
      </c>
      <c r="C44">
        <v>1710</v>
      </c>
      <c r="D44">
        <v>284.33499999999998</v>
      </c>
      <c r="E44">
        <v>486213.66200000001</v>
      </c>
      <c r="F44">
        <v>284.30200000000002</v>
      </c>
      <c r="G44">
        <v>486213.66200000001</v>
      </c>
      <c r="H44">
        <v>1</v>
      </c>
      <c r="I44">
        <v>170</v>
      </c>
      <c r="J44" s="1"/>
      <c r="K44" t="s">
        <v>28</v>
      </c>
      <c r="L44" t="s">
        <v>68</v>
      </c>
      <c r="N44" s="1"/>
    </row>
    <row r="45" spans="1:14" x14ac:dyDescent="0.2">
      <c r="A45">
        <v>11</v>
      </c>
      <c r="B45" t="s">
        <v>66</v>
      </c>
      <c r="C45">
        <v>1680</v>
      </c>
      <c r="D45">
        <v>283.74400000000003</v>
      </c>
      <c r="E45">
        <v>476689.75900000002</v>
      </c>
      <c r="F45">
        <v>283.72800000000001</v>
      </c>
      <c r="G45">
        <v>476689.75900000002</v>
      </c>
      <c r="H45">
        <v>1</v>
      </c>
      <c r="I45">
        <v>167</v>
      </c>
      <c r="J45" s="1"/>
      <c r="K45" t="s">
        <v>29</v>
      </c>
      <c r="L45" t="s">
        <v>68</v>
      </c>
      <c r="N45" s="1"/>
    </row>
    <row r="46" spans="1:14" x14ac:dyDescent="0.2">
      <c r="A46">
        <v>1</v>
      </c>
      <c r="B46" t="s">
        <v>69</v>
      </c>
      <c r="C46">
        <v>2260</v>
      </c>
      <c r="D46">
        <v>294.61799999999999</v>
      </c>
      <c r="E46">
        <v>665837.33200000005</v>
      </c>
      <c r="F46">
        <v>284.54700000000003</v>
      </c>
      <c r="G46">
        <v>665837.33200000005</v>
      </c>
      <c r="H46">
        <v>1</v>
      </c>
      <c r="I46">
        <v>224.989</v>
      </c>
      <c r="J46" s="1">
        <f t="shared" si="1"/>
        <v>45.452323232323231</v>
      </c>
      <c r="K46" t="s">
        <v>19</v>
      </c>
      <c r="L46" t="s">
        <v>80</v>
      </c>
      <c r="M46" s="1">
        <f>G46-(((G$54/C$54*C46)+(G$55/C$55*C46)+(G$56/C$56*C46))/3)</f>
        <v>27404.490834558848</v>
      </c>
      <c r="N46" s="1">
        <f t="shared" si="8"/>
        <v>602.92827485373198</v>
      </c>
    </row>
    <row r="47" spans="1:14" x14ac:dyDescent="0.2">
      <c r="A47">
        <v>2</v>
      </c>
      <c r="B47" t="s">
        <v>70</v>
      </c>
      <c r="C47">
        <v>2380</v>
      </c>
      <c r="D47">
        <v>302.834</v>
      </c>
      <c r="E47">
        <v>720745.35699999996</v>
      </c>
      <c r="F47">
        <v>286.51</v>
      </c>
      <c r="G47">
        <v>720745.35699999996</v>
      </c>
      <c r="H47">
        <v>1</v>
      </c>
      <c r="I47">
        <v>236.98599999999999</v>
      </c>
      <c r="J47" s="1">
        <f t="shared" si="1"/>
        <v>47.875959595959593</v>
      </c>
      <c r="K47" t="s">
        <v>20</v>
      </c>
      <c r="L47" t="s">
        <v>80</v>
      </c>
      <c r="M47" s="1">
        <f t="shared" ref="M47:M53" si="9">G47-(((G$54/C$54*C47)+(G$55/C$55*C47)+(G$56/C$56*C47))/3)</f>
        <v>48413.426923119463</v>
      </c>
      <c r="N47" s="1">
        <f t="shared" si="8"/>
        <v>1011.2262465691701</v>
      </c>
    </row>
    <row r="48" spans="1:14" x14ac:dyDescent="0.2">
      <c r="A48">
        <v>3</v>
      </c>
      <c r="B48" t="s">
        <v>71</v>
      </c>
      <c r="C48">
        <v>2150</v>
      </c>
      <c r="D48">
        <v>295.95400000000001</v>
      </c>
      <c r="E48">
        <v>636300.13600000006</v>
      </c>
      <c r="F48">
        <v>286.77499999999998</v>
      </c>
      <c r="G48">
        <v>636300.13600000006</v>
      </c>
      <c r="H48">
        <v>1</v>
      </c>
      <c r="I48">
        <v>213.99</v>
      </c>
      <c r="J48" s="1">
        <f t="shared" si="1"/>
        <v>43.230303030303034</v>
      </c>
      <c r="K48" t="s">
        <v>21</v>
      </c>
      <c r="L48" t="s">
        <v>80</v>
      </c>
      <c r="M48" s="1">
        <f t="shared" si="9"/>
        <v>28941.459670044947</v>
      </c>
      <c r="N48" s="1">
        <f t="shared" si="8"/>
        <v>669.47158917109437</v>
      </c>
    </row>
    <row r="49" spans="1:14" x14ac:dyDescent="0.2">
      <c r="A49">
        <v>4</v>
      </c>
      <c r="B49" t="s">
        <v>72</v>
      </c>
      <c r="C49">
        <v>1660</v>
      </c>
      <c r="D49">
        <v>292.28300000000002</v>
      </c>
      <c r="E49">
        <v>485189.91100000002</v>
      </c>
      <c r="F49">
        <v>285.81900000000002</v>
      </c>
      <c r="G49">
        <v>485189.91100000002</v>
      </c>
      <c r="H49">
        <v>1</v>
      </c>
      <c r="I49">
        <v>164.988</v>
      </c>
      <c r="J49" s="1">
        <f t="shared" si="1"/>
        <v>33.330909090909088</v>
      </c>
      <c r="K49" t="s">
        <v>22</v>
      </c>
      <c r="L49" t="s">
        <v>80</v>
      </c>
      <c r="M49" s="1">
        <f t="shared" si="9"/>
        <v>16252.514391755627</v>
      </c>
      <c r="N49" s="1">
        <f t="shared" si="8"/>
        <v>487.61089436316797</v>
      </c>
    </row>
    <row r="50" spans="1:14" x14ac:dyDescent="0.2">
      <c r="A50">
        <v>5</v>
      </c>
      <c r="B50" t="s">
        <v>73</v>
      </c>
      <c r="C50">
        <v>2410</v>
      </c>
      <c r="D50">
        <v>322.46800000000002</v>
      </c>
      <c r="E50">
        <v>777147.05900000001</v>
      </c>
      <c r="F50">
        <v>290.27199999999999</v>
      </c>
      <c r="G50">
        <v>777147.05900000001</v>
      </c>
      <c r="H50">
        <v>1</v>
      </c>
      <c r="I50">
        <v>239.98500000000001</v>
      </c>
      <c r="J50" s="1">
        <f t="shared" si="1"/>
        <v>48.481818181818184</v>
      </c>
      <c r="K50" t="s">
        <v>23</v>
      </c>
      <c r="L50" t="s">
        <v>80</v>
      </c>
      <c r="M50" s="1">
        <f t="shared" si="9"/>
        <v>96340.356695259688</v>
      </c>
      <c r="N50" s="1">
        <f t="shared" si="8"/>
        <v>1987.144053343065</v>
      </c>
    </row>
    <row r="51" spans="1:14" x14ac:dyDescent="0.2">
      <c r="A51">
        <v>6</v>
      </c>
      <c r="B51" t="s">
        <v>74</v>
      </c>
      <c r="C51">
        <v>1740</v>
      </c>
      <c r="D51">
        <v>289.959</v>
      </c>
      <c r="E51">
        <v>504528.75099999999</v>
      </c>
      <c r="F51">
        <v>285.29899999999998</v>
      </c>
      <c r="G51">
        <v>504528.75099999999</v>
      </c>
      <c r="H51">
        <v>1</v>
      </c>
      <c r="I51">
        <v>172.99600000000001</v>
      </c>
      <c r="J51" s="1">
        <f t="shared" si="1"/>
        <v>34.94868686868687</v>
      </c>
      <c r="K51" t="s">
        <v>24</v>
      </c>
      <c r="L51" t="s">
        <v>80</v>
      </c>
      <c r="M51" s="1">
        <f t="shared" si="9"/>
        <v>12991.96178412938</v>
      </c>
      <c r="N51" s="1">
        <f t="shared" si="8"/>
        <v>371.74391796018654</v>
      </c>
    </row>
    <row r="52" spans="1:14" x14ac:dyDescent="0.2">
      <c r="A52">
        <v>7</v>
      </c>
      <c r="B52" t="s">
        <v>75</v>
      </c>
      <c r="C52">
        <v>2120</v>
      </c>
      <c r="D52">
        <v>298.46899999999999</v>
      </c>
      <c r="E52">
        <v>632753.28500000003</v>
      </c>
      <c r="F52">
        <v>286.16800000000001</v>
      </c>
      <c r="G52">
        <v>632753.28500000003</v>
      </c>
      <c r="H52">
        <v>1</v>
      </c>
      <c r="I52">
        <v>210.989</v>
      </c>
      <c r="J52" s="1">
        <f t="shared" si="1"/>
        <v>42.6240404040404</v>
      </c>
      <c r="K52" t="s">
        <v>25</v>
      </c>
      <c r="L52" t="s">
        <v>80</v>
      </c>
      <c r="M52" s="1">
        <f t="shared" si="9"/>
        <v>33869.380897904746</v>
      </c>
      <c r="N52" s="1">
        <f t="shared" si="8"/>
        <v>794.60746979524288</v>
      </c>
    </row>
    <row r="53" spans="1:14" x14ac:dyDescent="0.2">
      <c r="A53">
        <v>8</v>
      </c>
      <c r="B53" t="s">
        <v>76</v>
      </c>
      <c r="C53">
        <v>2050</v>
      </c>
      <c r="D53">
        <v>304.20100000000002</v>
      </c>
      <c r="E53">
        <v>623611.39</v>
      </c>
      <c r="F53">
        <v>286.97399999999999</v>
      </c>
      <c r="G53">
        <v>623611.39</v>
      </c>
      <c r="H53">
        <v>1</v>
      </c>
      <c r="I53">
        <v>203.988</v>
      </c>
      <c r="J53" s="1">
        <f t="shared" si="1"/>
        <v>41.209696969696971</v>
      </c>
      <c r="K53" t="s">
        <v>26</v>
      </c>
      <c r="L53" t="s">
        <v>80</v>
      </c>
      <c r="M53" s="1">
        <f t="shared" si="9"/>
        <v>44501.954429577803</v>
      </c>
      <c r="N53" s="1">
        <f t="shared" si="8"/>
        <v>1079.8903583858371</v>
      </c>
    </row>
    <row r="54" spans="1:14" x14ac:dyDescent="0.2">
      <c r="A54">
        <v>9</v>
      </c>
      <c r="B54" t="s">
        <v>77</v>
      </c>
      <c r="C54">
        <v>1710</v>
      </c>
      <c r="D54">
        <v>282.839</v>
      </c>
      <c r="E54">
        <v>483654.62699999998</v>
      </c>
      <c r="F54">
        <v>282.86799999999999</v>
      </c>
      <c r="G54">
        <v>483654.62699999998</v>
      </c>
      <c r="H54">
        <v>1</v>
      </c>
      <c r="I54">
        <v>170</v>
      </c>
      <c r="J54" s="1"/>
      <c r="K54" t="s">
        <v>27</v>
      </c>
      <c r="L54" t="s">
        <v>80</v>
      </c>
    </row>
    <row r="55" spans="1:14" x14ac:dyDescent="0.2">
      <c r="A55">
        <v>10</v>
      </c>
      <c r="B55" t="s">
        <v>78</v>
      </c>
      <c r="C55">
        <v>1830</v>
      </c>
      <c r="D55">
        <v>282.23700000000002</v>
      </c>
      <c r="E55">
        <v>516494.47100000002</v>
      </c>
      <c r="F55">
        <v>282.14499999999998</v>
      </c>
      <c r="G55">
        <v>516494.47100000002</v>
      </c>
      <c r="H55">
        <v>1</v>
      </c>
      <c r="I55">
        <v>182</v>
      </c>
      <c r="J55" s="1"/>
      <c r="K55" t="s">
        <v>28</v>
      </c>
      <c r="L55" t="s">
        <v>80</v>
      </c>
    </row>
    <row r="56" spans="1:14" x14ac:dyDescent="0.2">
      <c r="A56">
        <v>11</v>
      </c>
      <c r="B56" t="s">
        <v>79</v>
      </c>
      <c r="C56">
        <v>2010</v>
      </c>
      <c r="D56">
        <v>282.40100000000001</v>
      </c>
      <c r="E56">
        <v>567625.696</v>
      </c>
      <c r="F56">
        <v>282.411</v>
      </c>
      <c r="G56">
        <v>567625.696</v>
      </c>
      <c r="H56">
        <v>1</v>
      </c>
      <c r="I56">
        <v>200</v>
      </c>
      <c r="J56" s="1"/>
      <c r="K56" t="s">
        <v>29</v>
      </c>
      <c r="L56" t="s">
        <v>80</v>
      </c>
    </row>
    <row r="57" spans="1:14" x14ac:dyDescent="0.2">
      <c r="A57">
        <v>1</v>
      </c>
      <c r="B57" t="s">
        <v>81</v>
      </c>
      <c r="C57">
        <v>2090</v>
      </c>
      <c r="D57">
        <v>299.03399999999999</v>
      </c>
      <c r="E57">
        <v>624980.50699999998</v>
      </c>
      <c r="F57">
        <v>286.57499999999999</v>
      </c>
      <c r="G57">
        <v>624980.50699999998</v>
      </c>
      <c r="H57">
        <v>1</v>
      </c>
      <c r="I57">
        <v>207.98699999999999</v>
      </c>
      <c r="J57" s="1">
        <f t="shared" si="1"/>
        <v>42.017575757575756</v>
      </c>
      <c r="K57" t="s">
        <v>113</v>
      </c>
      <c r="L57" t="s">
        <v>80</v>
      </c>
      <c r="M57" s="1">
        <f>G57-(((G$65/C$65*C57)+(G$66/C$66*C57)+(G$67/C$67*C57))/3)</f>
        <v>31790.036369451671</v>
      </c>
      <c r="N57" s="1">
        <f t="shared" ref="N57:N64" si="10">M57/J57</f>
        <v>756.58901772123147</v>
      </c>
    </row>
    <row r="58" spans="1:14" x14ac:dyDescent="0.2">
      <c r="A58">
        <v>2</v>
      </c>
      <c r="B58" t="s">
        <v>82</v>
      </c>
      <c r="C58">
        <v>1920</v>
      </c>
      <c r="D58">
        <v>294.44099999999997</v>
      </c>
      <c r="E58">
        <v>565325.80599999998</v>
      </c>
      <c r="F58">
        <v>286.786</v>
      </c>
      <c r="G58">
        <v>565325.80599999998</v>
      </c>
      <c r="H58">
        <v>1</v>
      </c>
      <c r="I58">
        <v>190.965</v>
      </c>
      <c r="J58" s="1">
        <f t="shared" si="1"/>
        <v>38.578787878787878</v>
      </c>
      <c r="K58" t="s">
        <v>114</v>
      </c>
      <c r="L58" t="s">
        <v>80</v>
      </c>
      <c r="M58" s="1">
        <f t="shared" ref="M58:M64" si="11">G58-(((G$65/C$65*C58)+(G$66/C$66*C58)+(G$67/C$67*C58))/3)</f>
        <v>20385.277956625447</v>
      </c>
      <c r="N58" s="1">
        <f t="shared" si="10"/>
        <v>528.40638800458703</v>
      </c>
    </row>
    <row r="59" spans="1:14" x14ac:dyDescent="0.2">
      <c r="A59">
        <v>3</v>
      </c>
      <c r="B59" t="s">
        <v>83</v>
      </c>
      <c r="C59">
        <v>2500</v>
      </c>
      <c r="D59">
        <v>306.93700000000001</v>
      </c>
      <c r="E59">
        <v>767343.00199999998</v>
      </c>
      <c r="F59">
        <v>290.339</v>
      </c>
      <c r="G59">
        <v>767343.00199999998</v>
      </c>
      <c r="H59">
        <v>1</v>
      </c>
      <c r="I59">
        <v>248.995</v>
      </c>
      <c r="J59" s="1">
        <f t="shared" si="1"/>
        <v>50.302020202020202</v>
      </c>
      <c r="K59" t="s">
        <v>115</v>
      </c>
      <c r="L59" t="s">
        <v>80</v>
      </c>
      <c r="M59" s="1">
        <f t="shared" si="11"/>
        <v>57785.022776856087</v>
      </c>
      <c r="N59" s="1">
        <f t="shared" si="10"/>
        <v>1148.7614720995909</v>
      </c>
    </row>
    <row r="60" spans="1:14" x14ac:dyDescent="0.2">
      <c r="A60">
        <v>4</v>
      </c>
      <c r="B60" t="s">
        <v>84</v>
      </c>
      <c r="C60">
        <v>2360</v>
      </c>
      <c r="D60">
        <v>303.548</v>
      </c>
      <c r="E60">
        <v>716372.20200000005</v>
      </c>
      <c r="F60">
        <v>287.88799999999998</v>
      </c>
      <c r="G60">
        <v>716372.20200000005</v>
      </c>
      <c r="H60">
        <v>1</v>
      </c>
      <c r="I60">
        <v>234.983</v>
      </c>
      <c r="J60" s="1">
        <f t="shared" si="1"/>
        <v>47.471313131313131</v>
      </c>
      <c r="K60" t="s">
        <v>116</v>
      </c>
      <c r="L60" t="s">
        <v>80</v>
      </c>
      <c r="M60" s="1">
        <f t="shared" si="11"/>
        <v>46549.469613352208</v>
      </c>
      <c r="N60" s="1">
        <f t="shared" si="10"/>
        <v>980.58104027139598</v>
      </c>
    </row>
    <row r="61" spans="1:14" x14ac:dyDescent="0.2">
      <c r="A61">
        <v>5</v>
      </c>
      <c r="B61" t="s">
        <v>85</v>
      </c>
      <c r="C61">
        <v>2450</v>
      </c>
      <c r="D61">
        <v>302.065</v>
      </c>
      <c r="E61">
        <v>740058.554</v>
      </c>
      <c r="F61">
        <v>288.05599999999998</v>
      </c>
      <c r="G61">
        <v>740058.554</v>
      </c>
      <c r="H61">
        <v>1</v>
      </c>
      <c r="I61">
        <v>243.99</v>
      </c>
      <c r="J61" s="1">
        <f t="shared" si="1"/>
        <v>49.290909090909089</v>
      </c>
      <c r="K61" t="s">
        <v>117</v>
      </c>
      <c r="L61" t="s">
        <v>80</v>
      </c>
      <c r="M61" s="1">
        <f t="shared" si="11"/>
        <v>44691.734361318871</v>
      </c>
      <c r="N61" s="1">
        <f t="shared" si="10"/>
        <v>906.69324598765695</v>
      </c>
    </row>
    <row r="62" spans="1:14" x14ac:dyDescent="0.2">
      <c r="A62">
        <v>6</v>
      </c>
      <c r="B62" t="s">
        <v>86</v>
      </c>
      <c r="C62">
        <v>2110</v>
      </c>
      <c r="D62">
        <v>309.70299999999997</v>
      </c>
      <c r="E62">
        <v>653473.78</v>
      </c>
      <c r="F62">
        <v>289.78899999999999</v>
      </c>
      <c r="G62">
        <v>653473.78</v>
      </c>
      <c r="H62">
        <v>1</v>
      </c>
      <c r="I62">
        <v>209.995</v>
      </c>
      <c r="J62" s="1">
        <f t="shared" si="1"/>
        <v>42.42323232323232</v>
      </c>
      <c r="K62" t="s">
        <v>118</v>
      </c>
      <c r="L62" t="s">
        <v>80</v>
      </c>
      <c r="M62" s="1">
        <f t="shared" si="11"/>
        <v>54606.845535666565</v>
      </c>
      <c r="N62" s="1">
        <f t="shared" si="10"/>
        <v>1287.1920064837236</v>
      </c>
    </row>
    <row r="63" spans="1:14" x14ac:dyDescent="0.2">
      <c r="A63">
        <v>7</v>
      </c>
      <c r="B63" t="s">
        <v>87</v>
      </c>
      <c r="C63">
        <v>2360</v>
      </c>
      <c r="D63">
        <v>301.15699999999998</v>
      </c>
      <c r="E63">
        <v>710729.87899999996</v>
      </c>
      <c r="F63">
        <v>287.76499999999999</v>
      </c>
      <c r="G63">
        <v>710729.87899999996</v>
      </c>
      <c r="H63">
        <v>1</v>
      </c>
      <c r="I63">
        <v>234.96799999999999</v>
      </c>
      <c r="J63" s="1">
        <f t="shared" si="1"/>
        <v>47.468282828282824</v>
      </c>
      <c r="K63" t="s">
        <v>119</v>
      </c>
      <c r="L63" t="s">
        <v>80</v>
      </c>
      <c r="M63" s="1">
        <f t="shared" si="11"/>
        <v>40907.146613352117</v>
      </c>
      <c r="N63" s="1">
        <f t="shared" si="10"/>
        <v>861.77852190976216</v>
      </c>
    </row>
    <row r="64" spans="1:14" x14ac:dyDescent="0.2">
      <c r="A64">
        <v>8</v>
      </c>
      <c r="B64" t="s">
        <v>88</v>
      </c>
      <c r="C64">
        <v>2250</v>
      </c>
      <c r="D64">
        <v>301.12400000000002</v>
      </c>
      <c r="E64">
        <v>677530.12399999995</v>
      </c>
      <c r="F64">
        <v>287.75299999999999</v>
      </c>
      <c r="G64">
        <v>677530.12399999995</v>
      </c>
      <c r="H64">
        <v>1</v>
      </c>
      <c r="I64">
        <v>223.994</v>
      </c>
      <c r="J64" s="1">
        <f t="shared" si="1"/>
        <v>45.251313131313132</v>
      </c>
      <c r="K64" t="s">
        <v>120</v>
      </c>
      <c r="L64" t="s">
        <v>80</v>
      </c>
      <c r="M64" s="1">
        <f t="shared" si="11"/>
        <v>38927.942699170439</v>
      </c>
      <c r="N64" s="1">
        <f t="shared" si="10"/>
        <v>860.26106217529787</v>
      </c>
    </row>
    <row r="65" spans="1:14" x14ac:dyDescent="0.2">
      <c r="A65">
        <v>9</v>
      </c>
      <c r="B65" t="s">
        <v>89</v>
      </c>
      <c r="C65">
        <v>2030</v>
      </c>
      <c r="D65">
        <v>283.68200000000002</v>
      </c>
      <c r="E65">
        <v>575875.27899999998</v>
      </c>
      <c r="F65">
        <v>283.745</v>
      </c>
      <c r="G65">
        <v>575875.27899999998</v>
      </c>
      <c r="H65">
        <v>1</v>
      </c>
      <c r="I65">
        <v>202</v>
      </c>
      <c r="J65" s="1"/>
      <c r="K65" t="s">
        <v>27</v>
      </c>
      <c r="L65" t="s">
        <v>80</v>
      </c>
    </row>
    <row r="66" spans="1:14" x14ac:dyDescent="0.2">
      <c r="A66">
        <v>10</v>
      </c>
      <c r="B66" t="s">
        <v>90</v>
      </c>
      <c r="C66">
        <v>1920</v>
      </c>
      <c r="D66">
        <v>283.85199999999998</v>
      </c>
      <c r="E66">
        <v>544995.65599999996</v>
      </c>
      <c r="F66">
        <v>283.83800000000002</v>
      </c>
      <c r="G66">
        <v>544995.65599999996</v>
      </c>
      <c r="H66">
        <v>1</v>
      </c>
      <c r="I66">
        <v>191</v>
      </c>
      <c r="K66" t="s">
        <v>28</v>
      </c>
      <c r="L66" t="s">
        <v>80</v>
      </c>
    </row>
    <row r="67" spans="1:14" x14ac:dyDescent="0.2">
      <c r="A67">
        <v>11</v>
      </c>
      <c r="B67" t="s">
        <v>91</v>
      </c>
      <c r="C67">
        <v>2120</v>
      </c>
      <c r="D67">
        <v>283.935</v>
      </c>
      <c r="E67">
        <v>601942.76699999999</v>
      </c>
      <c r="F67">
        <v>283.95299999999997</v>
      </c>
      <c r="G67">
        <v>601942.76699999999</v>
      </c>
      <c r="H67">
        <v>1</v>
      </c>
      <c r="I67">
        <v>211</v>
      </c>
      <c r="K67" t="s">
        <v>29</v>
      </c>
      <c r="L67" t="s">
        <v>80</v>
      </c>
    </row>
    <row r="68" spans="1:14" x14ac:dyDescent="0.2">
      <c r="A68">
        <v>1</v>
      </c>
      <c r="B68" t="s">
        <v>92</v>
      </c>
      <c r="C68">
        <v>1820</v>
      </c>
      <c r="D68">
        <v>300.64600000000002</v>
      </c>
      <c r="E68">
        <v>547175.52099999995</v>
      </c>
      <c r="F68">
        <v>286.98700000000002</v>
      </c>
      <c r="G68">
        <v>547175.52099999995</v>
      </c>
      <c r="H68">
        <v>1</v>
      </c>
      <c r="I68">
        <v>180.99299999999999</v>
      </c>
      <c r="J68" s="1">
        <f t="shared" ref="J68:J75" si="12">I68/4.95</f>
        <v>36.564242424242423</v>
      </c>
      <c r="K68" t="s">
        <v>121</v>
      </c>
      <c r="L68" t="s">
        <v>80</v>
      </c>
      <c r="M68" s="1">
        <f>G68-(((G$76/C$76*C68)+(G$77/C$77*C68)+(G$78/C$78*C68))/3)</f>
        <v>30806.441779653076</v>
      </c>
      <c r="N68" s="1">
        <f t="shared" ref="N68:N75" si="13">M68/J68</f>
        <v>842.52919620804528</v>
      </c>
    </row>
    <row r="69" spans="1:14" x14ac:dyDescent="0.2">
      <c r="A69">
        <v>2</v>
      </c>
      <c r="B69" t="s">
        <v>93</v>
      </c>
      <c r="C69">
        <v>2060</v>
      </c>
      <c r="D69">
        <v>300.87599999999998</v>
      </c>
      <c r="E69">
        <v>619804.02800000005</v>
      </c>
      <c r="F69">
        <v>287.34100000000001</v>
      </c>
      <c r="G69">
        <v>619804.02800000005</v>
      </c>
      <c r="H69">
        <v>1</v>
      </c>
      <c r="I69">
        <v>204.994</v>
      </c>
      <c r="J69" s="1">
        <f t="shared" si="12"/>
        <v>41.412929292929292</v>
      </c>
      <c r="K69" t="s">
        <v>122</v>
      </c>
      <c r="L69" t="s">
        <v>80</v>
      </c>
      <c r="M69" s="1">
        <f t="shared" ref="M69:M75" si="14">G69-(((G$76/C$76*C69)+(G$77/C$77*C69)+(G$78/C$78*C69))/3)</f>
        <v>35342.322948398651</v>
      </c>
      <c r="N69" s="1">
        <f t="shared" si="13"/>
        <v>853.41277595721499</v>
      </c>
    </row>
    <row r="70" spans="1:14" x14ac:dyDescent="0.2">
      <c r="A70">
        <v>3</v>
      </c>
      <c r="B70" t="s">
        <v>94</v>
      </c>
      <c r="C70">
        <v>2010</v>
      </c>
      <c r="D70">
        <v>303.84800000000001</v>
      </c>
      <c r="E70">
        <v>610734.78899999999</v>
      </c>
      <c r="F70">
        <v>288.92500000000001</v>
      </c>
      <c r="G70">
        <v>610734.78899999999</v>
      </c>
      <c r="H70">
        <v>1</v>
      </c>
      <c r="I70">
        <v>199.994</v>
      </c>
      <c r="J70" s="1">
        <f t="shared" si="12"/>
        <v>40.402828282828281</v>
      </c>
      <c r="K70" t="s">
        <v>123</v>
      </c>
      <c r="L70" t="s">
        <v>80</v>
      </c>
      <c r="M70" s="1">
        <f t="shared" si="14"/>
        <v>40459.047663243255</v>
      </c>
      <c r="N70" s="1">
        <f t="shared" si="13"/>
        <v>1001.3914714094129</v>
      </c>
    </row>
    <row r="71" spans="1:14" x14ac:dyDescent="0.2">
      <c r="A71">
        <v>4</v>
      </c>
      <c r="B71" t="s">
        <v>95</v>
      </c>
      <c r="C71">
        <v>2320</v>
      </c>
      <c r="D71">
        <v>307.03300000000002</v>
      </c>
      <c r="E71">
        <v>712315.40399999998</v>
      </c>
      <c r="F71">
        <v>288.50299999999999</v>
      </c>
      <c r="G71">
        <v>712315.40399999998</v>
      </c>
      <c r="H71">
        <v>1</v>
      </c>
      <c r="I71">
        <v>230.953</v>
      </c>
      <c r="J71" s="1">
        <f t="shared" si="12"/>
        <v>46.657171717171714</v>
      </c>
      <c r="K71" t="s">
        <v>124</v>
      </c>
      <c r="L71" t="s">
        <v>80</v>
      </c>
      <c r="M71" s="1">
        <f t="shared" si="14"/>
        <v>54086.687631206238</v>
      </c>
      <c r="N71" s="1">
        <f t="shared" si="13"/>
        <v>1159.236311173576</v>
      </c>
    </row>
    <row r="72" spans="1:14" x14ac:dyDescent="0.2">
      <c r="A72">
        <v>5</v>
      </c>
      <c r="B72" t="s">
        <v>96</v>
      </c>
      <c r="C72">
        <v>2010</v>
      </c>
      <c r="D72">
        <v>306.25700000000001</v>
      </c>
      <c r="E72">
        <v>615576.08100000001</v>
      </c>
      <c r="F72">
        <v>287.89600000000002</v>
      </c>
      <c r="G72">
        <v>615576.08100000001</v>
      </c>
      <c r="H72">
        <v>1</v>
      </c>
      <c r="I72">
        <v>199.98599999999999</v>
      </c>
      <c r="J72" s="1">
        <f t="shared" si="12"/>
        <v>40.401212121212119</v>
      </c>
      <c r="K72" t="s">
        <v>125</v>
      </c>
      <c r="L72" t="s">
        <v>80</v>
      </c>
      <c r="M72" s="1">
        <f t="shared" si="14"/>
        <v>45300.33966324327</v>
      </c>
      <c r="N72" s="1">
        <f t="shared" si="13"/>
        <v>1121.2618949979208</v>
      </c>
    </row>
    <row r="73" spans="1:14" x14ac:dyDescent="0.2">
      <c r="A73">
        <v>6</v>
      </c>
      <c r="B73" t="s">
        <v>97</v>
      </c>
      <c r="C73">
        <v>1760</v>
      </c>
      <c r="D73">
        <v>293.64499999999998</v>
      </c>
      <c r="E73">
        <v>516815.99800000002</v>
      </c>
      <c r="F73">
        <v>286.21699999999998</v>
      </c>
      <c r="G73">
        <v>516815.99800000002</v>
      </c>
      <c r="H73">
        <v>1</v>
      </c>
      <c r="I73">
        <v>174.99</v>
      </c>
      <c r="J73" s="1">
        <f t="shared" si="12"/>
        <v>35.351515151515152</v>
      </c>
      <c r="K73" t="s">
        <v>126</v>
      </c>
      <c r="L73" t="s">
        <v>80</v>
      </c>
      <c r="M73" s="1">
        <f t="shared" si="14"/>
        <v>17470.075237466779</v>
      </c>
      <c r="N73" s="1">
        <f t="shared" si="13"/>
        <v>494.18179567667039</v>
      </c>
    </row>
    <row r="74" spans="1:14" x14ac:dyDescent="0.2">
      <c r="A74">
        <v>7</v>
      </c>
      <c r="B74" t="s">
        <v>98</v>
      </c>
      <c r="C74">
        <v>2010</v>
      </c>
      <c r="D74">
        <v>300.15699999999998</v>
      </c>
      <c r="E74">
        <v>603315.58799999999</v>
      </c>
      <c r="F74">
        <v>288.36500000000001</v>
      </c>
      <c r="G74">
        <v>603315.58799999999</v>
      </c>
      <c r="H74">
        <v>1</v>
      </c>
      <c r="I74">
        <v>199.99600000000001</v>
      </c>
      <c r="J74" s="1">
        <f t="shared" si="12"/>
        <v>40.403232323232324</v>
      </c>
      <c r="K74" t="s">
        <v>127</v>
      </c>
      <c r="L74" t="s">
        <v>80</v>
      </c>
      <c r="M74" s="1">
        <f t="shared" si="14"/>
        <v>33039.846663243254</v>
      </c>
      <c r="N74" s="1">
        <f t="shared" si="13"/>
        <v>817.7525599664699</v>
      </c>
    </row>
    <row r="75" spans="1:14" x14ac:dyDescent="0.2">
      <c r="A75">
        <v>8</v>
      </c>
      <c r="B75" t="s">
        <v>99</v>
      </c>
      <c r="C75">
        <v>2280</v>
      </c>
      <c r="D75">
        <v>303.33100000000002</v>
      </c>
      <c r="E75">
        <v>691593.554</v>
      </c>
      <c r="F75">
        <v>287.524</v>
      </c>
      <c r="G75">
        <v>691593.554</v>
      </c>
      <c r="H75">
        <v>1</v>
      </c>
      <c r="I75">
        <v>226.99</v>
      </c>
      <c r="J75" s="1">
        <f t="shared" si="12"/>
        <v>45.856565656565657</v>
      </c>
      <c r="K75" t="s">
        <v>128</v>
      </c>
      <c r="L75" t="s">
        <v>80</v>
      </c>
      <c r="M75" s="1">
        <f t="shared" si="14"/>
        <v>44713.608603082015</v>
      </c>
      <c r="N75" s="1">
        <f t="shared" si="13"/>
        <v>975.07538915924033</v>
      </c>
    </row>
    <row r="76" spans="1:14" x14ac:dyDescent="0.2">
      <c r="A76">
        <v>9</v>
      </c>
      <c r="B76" t="s">
        <v>100</v>
      </c>
      <c r="C76">
        <v>2070</v>
      </c>
      <c r="D76">
        <v>283.964</v>
      </c>
      <c r="E76">
        <v>587805.86300000001</v>
      </c>
      <c r="F76">
        <v>283.93599999999998</v>
      </c>
      <c r="G76">
        <v>587805.86300000001</v>
      </c>
      <c r="H76">
        <v>1</v>
      </c>
      <c r="I76">
        <v>206</v>
      </c>
      <c r="K76" t="s">
        <v>27</v>
      </c>
      <c r="L76" t="s">
        <v>80</v>
      </c>
    </row>
    <row r="77" spans="1:14" x14ac:dyDescent="0.2">
      <c r="A77">
        <v>10</v>
      </c>
      <c r="B77" t="s">
        <v>101</v>
      </c>
      <c r="C77">
        <v>2020</v>
      </c>
      <c r="D77">
        <v>283.09399999999999</v>
      </c>
      <c r="E77">
        <v>571849.56900000002</v>
      </c>
      <c r="F77">
        <v>283.07400000000001</v>
      </c>
      <c r="G77">
        <v>571849.56900000002</v>
      </c>
      <c r="H77">
        <v>1</v>
      </c>
      <c r="I77">
        <v>201</v>
      </c>
      <c r="K77" t="s">
        <v>28</v>
      </c>
      <c r="L77" t="s">
        <v>80</v>
      </c>
    </row>
    <row r="78" spans="1:14" x14ac:dyDescent="0.2">
      <c r="A78">
        <v>11</v>
      </c>
      <c r="B78" t="s">
        <v>102</v>
      </c>
      <c r="C78">
        <v>2080</v>
      </c>
      <c r="D78">
        <v>284.10000000000002</v>
      </c>
      <c r="E78">
        <v>590927.56700000004</v>
      </c>
      <c r="F78">
        <v>284.09899999999999</v>
      </c>
      <c r="G78">
        <v>590927.56700000004</v>
      </c>
      <c r="H78">
        <v>1</v>
      </c>
      <c r="I78">
        <v>207</v>
      </c>
      <c r="K78" t="s">
        <v>29</v>
      </c>
      <c r="L78" t="s">
        <v>80</v>
      </c>
    </row>
    <row r="79" spans="1:14" x14ac:dyDescent="0.2">
      <c r="A79">
        <v>1</v>
      </c>
      <c r="B79" t="s">
        <v>103</v>
      </c>
      <c r="C79">
        <v>2000</v>
      </c>
      <c r="D79">
        <v>297.65199999999999</v>
      </c>
      <c r="E79">
        <v>595303.43900000001</v>
      </c>
      <c r="F79">
        <v>286.23599999999999</v>
      </c>
      <c r="G79">
        <v>595303.43900000001</v>
      </c>
      <c r="H79">
        <v>1</v>
      </c>
      <c r="I79">
        <v>198.99199999999999</v>
      </c>
      <c r="J79" s="1">
        <f t="shared" ref="J79:J85" si="15">I79/4.95</f>
        <v>40.200404040404038</v>
      </c>
      <c r="K79" t="s">
        <v>129</v>
      </c>
      <c r="L79" t="s">
        <v>80</v>
      </c>
      <c r="M79" s="1">
        <f>G79-(((G$86/C$86*C79)+(G$87/C$87*C79)+(G$88/C$88*C79))/3)</f>
        <v>27605.844575620373</v>
      </c>
      <c r="N79" s="1">
        <f t="shared" ref="N79:N85" si="16">M79/J79</f>
        <v>686.70564972119905</v>
      </c>
    </row>
    <row r="80" spans="1:14" x14ac:dyDescent="0.2">
      <c r="A80">
        <v>2</v>
      </c>
      <c r="B80" t="s">
        <v>104</v>
      </c>
      <c r="C80">
        <v>1990</v>
      </c>
      <c r="D80">
        <v>298.83</v>
      </c>
      <c r="E80">
        <v>594671.25699999998</v>
      </c>
      <c r="F80">
        <v>286.53899999999999</v>
      </c>
      <c r="G80">
        <v>594671.25699999998</v>
      </c>
      <c r="H80">
        <v>1</v>
      </c>
      <c r="I80">
        <v>197.989</v>
      </c>
      <c r="J80" s="1">
        <f t="shared" si="15"/>
        <v>39.997777777777777</v>
      </c>
      <c r="K80" t="s">
        <v>130</v>
      </c>
      <c r="L80" t="s">
        <v>80</v>
      </c>
      <c r="M80" s="1">
        <f t="shared" ref="M80:M85" si="17">G80-(((G$86/C$86*C80)+(G$87/C$87*C80)+(G$88/C$88*C80))/3)</f>
        <v>29812.150547742145</v>
      </c>
      <c r="N80" s="1">
        <f t="shared" si="16"/>
        <v>745.3451717586513</v>
      </c>
    </row>
    <row r="81" spans="1:14" x14ac:dyDescent="0.2">
      <c r="A81">
        <v>3</v>
      </c>
      <c r="B81" t="s">
        <v>105</v>
      </c>
      <c r="C81">
        <v>2720</v>
      </c>
      <c r="D81">
        <v>303.75799999999998</v>
      </c>
      <c r="E81">
        <v>826222.62699999998</v>
      </c>
      <c r="F81">
        <v>289.50099999999998</v>
      </c>
      <c r="G81">
        <v>826222.62699999998</v>
      </c>
      <c r="H81">
        <v>1</v>
      </c>
      <c r="I81">
        <v>270.99900000000002</v>
      </c>
      <c r="J81" s="1">
        <f t="shared" si="15"/>
        <v>54.74727272727273</v>
      </c>
      <c r="K81" t="s">
        <v>131</v>
      </c>
      <c r="L81" t="s">
        <v>80</v>
      </c>
      <c r="M81" s="1">
        <f t="shared" si="17"/>
        <v>54153.898582843598</v>
      </c>
      <c r="N81" s="1">
        <f t="shared" si="16"/>
        <v>989.16157618690772</v>
      </c>
    </row>
    <row r="82" spans="1:14" x14ac:dyDescent="0.2">
      <c r="A82">
        <v>4</v>
      </c>
      <c r="B82" t="s">
        <v>106</v>
      </c>
      <c r="C82">
        <v>1790</v>
      </c>
      <c r="D82">
        <v>294.75700000000001</v>
      </c>
      <c r="E82">
        <v>527614.44400000002</v>
      </c>
      <c r="F82">
        <v>287.49099999999999</v>
      </c>
      <c r="G82">
        <v>527614.44400000002</v>
      </c>
      <c r="H82">
        <v>1</v>
      </c>
      <c r="I82">
        <v>177.99799999999999</v>
      </c>
      <c r="J82" s="1">
        <f t="shared" si="15"/>
        <v>35.959191919191916</v>
      </c>
      <c r="K82" t="s">
        <v>132</v>
      </c>
      <c r="L82" t="s">
        <v>80</v>
      </c>
      <c r="M82" s="1">
        <f t="shared" si="17"/>
        <v>19525.09699018026</v>
      </c>
      <c r="N82" s="1">
        <f t="shared" si="16"/>
        <v>542.97930370786355</v>
      </c>
    </row>
    <row r="83" spans="1:14" x14ac:dyDescent="0.2">
      <c r="A83">
        <v>5</v>
      </c>
      <c r="B83" t="s">
        <v>107</v>
      </c>
      <c r="C83">
        <v>2000</v>
      </c>
      <c r="D83">
        <v>300.14299999999997</v>
      </c>
      <c r="E83">
        <v>600286.326</v>
      </c>
      <c r="F83">
        <v>288.92</v>
      </c>
      <c r="G83">
        <v>600286.326</v>
      </c>
      <c r="H83">
        <v>1</v>
      </c>
      <c r="I83">
        <v>198.994</v>
      </c>
      <c r="J83" s="1">
        <f t="shared" si="15"/>
        <v>40.200808080808081</v>
      </c>
      <c r="K83" t="s">
        <v>133</v>
      </c>
      <c r="L83" t="s">
        <v>80</v>
      </c>
      <c r="M83" s="1">
        <f t="shared" si="17"/>
        <v>32588.731575620361</v>
      </c>
      <c r="N83" s="1">
        <f t="shared" si="16"/>
        <v>810.64866930319897</v>
      </c>
    </row>
    <row r="84" spans="1:14" x14ac:dyDescent="0.2">
      <c r="A84">
        <v>6</v>
      </c>
      <c r="B84" t="s">
        <v>108</v>
      </c>
      <c r="C84">
        <v>2580</v>
      </c>
      <c r="D84">
        <v>311.45600000000002</v>
      </c>
      <c r="E84">
        <v>803557.32799999998</v>
      </c>
      <c r="F84">
        <v>289.52600000000001</v>
      </c>
      <c r="G84">
        <v>803557.32799999998</v>
      </c>
      <c r="H84">
        <v>1</v>
      </c>
      <c r="I84">
        <v>256.99299999999999</v>
      </c>
      <c r="J84" s="1">
        <f t="shared" si="15"/>
        <v>51.917777777777772</v>
      </c>
      <c r="K84" t="s">
        <v>134</v>
      </c>
      <c r="L84" t="s">
        <v>80</v>
      </c>
      <c r="M84" s="1">
        <f t="shared" si="17"/>
        <v>71227.431192550226</v>
      </c>
      <c r="N84" s="1">
        <f t="shared" si="16"/>
        <v>1371.927579362565</v>
      </c>
    </row>
    <row r="85" spans="1:14" x14ac:dyDescent="0.2">
      <c r="A85">
        <v>7</v>
      </c>
      <c r="B85" t="s">
        <v>109</v>
      </c>
      <c r="C85">
        <v>1770</v>
      </c>
      <c r="D85">
        <v>293.38400000000001</v>
      </c>
      <c r="E85">
        <v>519290.16600000003</v>
      </c>
      <c r="F85">
        <v>286.47300000000001</v>
      </c>
      <c r="G85">
        <v>519290.16600000003</v>
      </c>
      <c r="H85">
        <v>1</v>
      </c>
      <c r="I85">
        <v>175.994</v>
      </c>
      <c r="J85" s="1">
        <f t="shared" si="15"/>
        <v>35.55434343434343</v>
      </c>
      <c r="K85" t="s">
        <v>135</v>
      </c>
      <c r="L85" t="s">
        <v>80</v>
      </c>
      <c r="M85" s="1">
        <f t="shared" si="17"/>
        <v>16877.79493442399</v>
      </c>
      <c r="N85" s="1">
        <f t="shared" si="16"/>
        <v>474.70416562723022</v>
      </c>
    </row>
    <row r="86" spans="1:14" x14ac:dyDescent="0.2">
      <c r="A86">
        <v>8</v>
      </c>
      <c r="B86" t="s">
        <v>110</v>
      </c>
      <c r="C86">
        <v>2380</v>
      </c>
      <c r="D86">
        <v>284.15300000000002</v>
      </c>
      <c r="E86">
        <v>676283.11899999995</v>
      </c>
      <c r="F86">
        <v>284.08999999999997</v>
      </c>
      <c r="G86">
        <v>676283.11899999995</v>
      </c>
      <c r="H86">
        <v>1</v>
      </c>
      <c r="I86">
        <v>237</v>
      </c>
      <c r="K86" t="s">
        <v>27</v>
      </c>
      <c r="L86" t="s">
        <v>80</v>
      </c>
    </row>
    <row r="87" spans="1:14" x14ac:dyDescent="0.2">
      <c r="A87">
        <v>9</v>
      </c>
      <c r="B87" t="s">
        <v>111</v>
      </c>
      <c r="C87">
        <v>2100</v>
      </c>
      <c r="D87">
        <v>282.947</v>
      </c>
      <c r="E87">
        <v>594188.62</v>
      </c>
      <c r="F87">
        <v>282.96199999999999</v>
      </c>
      <c r="G87">
        <v>594188.62</v>
      </c>
      <c r="H87">
        <v>1</v>
      </c>
      <c r="I87">
        <v>208.999</v>
      </c>
      <c r="K87" t="s">
        <v>28</v>
      </c>
      <c r="L87" t="s">
        <v>80</v>
      </c>
    </row>
    <row r="88" spans="1:14" x14ac:dyDescent="0.2">
      <c r="A88">
        <v>10</v>
      </c>
      <c r="B88" t="s">
        <v>112</v>
      </c>
      <c r="C88">
        <v>2350</v>
      </c>
      <c r="D88">
        <v>284.447</v>
      </c>
      <c r="E88">
        <v>668450.11800000002</v>
      </c>
      <c r="F88">
        <v>284.42700000000002</v>
      </c>
      <c r="G88">
        <v>668450.11800000002</v>
      </c>
      <c r="H88">
        <v>1</v>
      </c>
      <c r="I88">
        <v>233.999</v>
      </c>
      <c r="K88" t="s">
        <v>29</v>
      </c>
      <c r="L88" t="s">
        <v>80</v>
      </c>
    </row>
    <row r="91" spans="1:14" x14ac:dyDescent="0.2">
      <c r="A91" t="s">
        <v>42</v>
      </c>
    </row>
    <row r="92" spans="1:14" x14ac:dyDescent="0.2">
      <c r="B92" t="s">
        <v>137</v>
      </c>
      <c r="C92" t="s">
        <v>138</v>
      </c>
      <c r="D92" t="s">
        <v>139</v>
      </c>
      <c r="E92" t="s">
        <v>140</v>
      </c>
    </row>
    <row r="93" spans="1:14" x14ac:dyDescent="0.2">
      <c r="A93" t="s">
        <v>68</v>
      </c>
      <c r="B93" s="1">
        <f>AVERAGE(N2:N42)</f>
        <v>1779.8565853620401</v>
      </c>
      <c r="C93">
        <f>STDEV(N2:N42)</f>
        <v>799.2161131597702</v>
      </c>
      <c r="D93">
        <f>C93/B93</f>
        <v>0.44903399506045139</v>
      </c>
      <c r="E93">
        <f>(C93*C93)/(B93*B93)</f>
        <v>0.20163152871994949</v>
      </c>
    </row>
    <row r="94" spans="1:14" x14ac:dyDescent="0.2">
      <c r="A94" t="s">
        <v>80</v>
      </c>
      <c r="B94" s="1">
        <f>AVERAGE(N46:N85)</f>
        <v>878.10319578422286</v>
      </c>
      <c r="C94">
        <f>STDEV(N46:N85)</f>
        <v>322.42849435480201</v>
      </c>
      <c r="D94">
        <f>C94/B94</f>
        <v>0.36718747398117052</v>
      </c>
      <c r="E94">
        <f>(C94*C94)/(B94*B94)</f>
        <v>0.13482664104867276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2021-03-29T08:42:44Z</dcterms:created>
  <dcterms:modified xsi:type="dcterms:W3CDTF">2021-04-22T13:10:09Z</dcterms:modified>
</cp:coreProperties>
</file>