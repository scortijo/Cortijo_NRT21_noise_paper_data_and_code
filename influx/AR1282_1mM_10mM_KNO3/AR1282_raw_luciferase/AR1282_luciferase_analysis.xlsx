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esktop/BPMP/NRT2.1/Influx/20210426_1m_10m_nrt21_influx_AR1282/20210423_luciferase_nrt21_1mM_10mM/"/>
    </mc:Choice>
  </mc:AlternateContent>
  <xr:revisionPtr revIDLastSave="0" documentId="13_ncr:1_{A6CC5491-43B2-574E-A38C-3D1A5D82A5D0}" xr6:coauthVersionLast="36" xr6:coauthVersionMax="36" xr10:uidLastSave="{00000000-0000-0000-0000-000000000000}"/>
  <bookViews>
    <workbookView xWindow="31220" yWindow="9380" windowWidth="27640" windowHeight="15740" xr2:uid="{18061946-8AB3-4248-A377-F12766F7390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0" i="1" l="1"/>
  <c r="M80" i="1"/>
  <c r="N80" i="1" s="1"/>
  <c r="L81" i="1"/>
  <c r="M81" i="1"/>
  <c r="N81" i="1"/>
  <c r="L82" i="1"/>
  <c r="M82" i="1"/>
  <c r="N82" i="1" s="1"/>
  <c r="L83" i="1"/>
  <c r="M83" i="1"/>
  <c r="N83" i="1" s="1"/>
  <c r="L84" i="1"/>
  <c r="M84" i="1"/>
  <c r="N84" i="1"/>
  <c r="L85" i="1"/>
  <c r="N85" i="1" s="1"/>
  <c r="M85" i="1"/>
  <c r="L86" i="1"/>
  <c r="M86" i="1"/>
  <c r="N86" i="1"/>
  <c r="L87" i="1"/>
  <c r="L88" i="1"/>
  <c r="L89" i="1"/>
  <c r="M79" i="1"/>
  <c r="N79" i="1" s="1"/>
  <c r="L79" i="1"/>
  <c r="L69" i="1"/>
  <c r="M69" i="1"/>
  <c r="N69" i="1" s="1"/>
  <c r="L70" i="1"/>
  <c r="M70" i="1"/>
  <c r="N70" i="1"/>
  <c r="L71" i="1"/>
  <c r="M71" i="1"/>
  <c r="N71" i="1" s="1"/>
  <c r="L72" i="1"/>
  <c r="M72" i="1"/>
  <c r="N72" i="1" s="1"/>
  <c r="L73" i="1"/>
  <c r="M73" i="1"/>
  <c r="N73" i="1"/>
  <c r="L74" i="1"/>
  <c r="M74" i="1"/>
  <c r="N74" i="1" s="1"/>
  <c r="L75" i="1"/>
  <c r="M75" i="1"/>
  <c r="N75" i="1"/>
  <c r="M68" i="1"/>
  <c r="N68" i="1"/>
  <c r="L68" i="1"/>
  <c r="L58" i="1"/>
  <c r="M58" i="1"/>
  <c r="N58" i="1"/>
  <c r="L59" i="1"/>
  <c r="M59" i="1"/>
  <c r="N59" i="1"/>
  <c r="L60" i="1"/>
  <c r="M60" i="1"/>
  <c r="N60" i="1" s="1"/>
  <c r="L61" i="1"/>
  <c r="M61" i="1"/>
  <c r="N61" i="1" s="1"/>
  <c r="L62" i="1"/>
  <c r="M62" i="1"/>
  <c r="N62" i="1" s="1"/>
  <c r="L63" i="1"/>
  <c r="M63" i="1"/>
  <c r="N63" i="1" s="1"/>
  <c r="L64" i="1"/>
  <c r="M64" i="1"/>
  <c r="N64" i="1"/>
  <c r="M57" i="1"/>
  <c r="N57" i="1" s="1"/>
  <c r="L57" i="1"/>
  <c r="L47" i="1"/>
  <c r="M47" i="1"/>
  <c r="N47" i="1" s="1"/>
  <c r="L48" i="1"/>
  <c r="M48" i="1"/>
  <c r="N48" i="1" s="1"/>
  <c r="L49" i="1"/>
  <c r="M49" i="1"/>
  <c r="N49" i="1" s="1"/>
  <c r="L50" i="1"/>
  <c r="M50" i="1"/>
  <c r="N50" i="1" s="1"/>
  <c r="L51" i="1"/>
  <c r="M51" i="1"/>
  <c r="N51" i="1"/>
  <c r="L52" i="1"/>
  <c r="M52" i="1"/>
  <c r="N52" i="1"/>
  <c r="L53" i="1"/>
  <c r="M53" i="1"/>
  <c r="N53" i="1" s="1"/>
  <c r="M46" i="1"/>
  <c r="N46" i="1" s="1"/>
  <c r="L46" i="1"/>
  <c r="L36" i="1"/>
  <c r="M36" i="1"/>
  <c r="N36" i="1" s="1"/>
  <c r="L37" i="1"/>
  <c r="M37" i="1"/>
  <c r="N37" i="1" s="1"/>
  <c r="L38" i="1"/>
  <c r="M38" i="1"/>
  <c r="N38" i="1" s="1"/>
  <c r="L39" i="1"/>
  <c r="M39" i="1"/>
  <c r="N39" i="1" s="1"/>
  <c r="L40" i="1"/>
  <c r="M40" i="1"/>
  <c r="N40" i="1"/>
  <c r="L41" i="1"/>
  <c r="N41" i="1" s="1"/>
  <c r="M41" i="1"/>
  <c r="L42" i="1"/>
  <c r="M42" i="1"/>
  <c r="N42" i="1"/>
  <c r="M35" i="1"/>
  <c r="N35" i="1" s="1"/>
  <c r="L35" i="1"/>
  <c r="M31" i="1"/>
  <c r="N31" i="1" s="1"/>
  <c r="L31" i="1"/>
  <c r="M30" i="1"/>
  <c r="N30" i="1" s="1"/>
  <c r="L30" i="1"/>
  <c r="M29" i="1"/>
  <c r="N29" i="1" s="1"/>
  <c r="L29" i="1"/>
  <c r="M28" i="1"/>
  <c r="L28" i="1"/>
  <c r="N28" i="1" s="1"/>
  <c r="M27" i="1"/>
  <c r="N27" i="1" s="1"/>
  <c r="L27" i="1"/>
  <c r="N26" i="1"/>
  <c r="M26" i="1"/>
  <c r="L26" i="1"/>
  <c r="M25" i="1"/>
  <c r="N25" i="1" s="1"/>
  <c r="L25" i="1"/>
  <c r="M24" i="1"/>
  <c r="N24" i="1" s="1"/>
  <c r="L24" i="1"/>
  <c r="L14" i="1"/>
  <c r="M14" i="1"/>
  <c r="N14" i="1" s="1"/>
  <c r="L15" i="1"/>
  <c r="M15" i="1"/>
  <c r="N15" i="1" s="1"/>
  <c r="L16" i="1"/>
  <c r="M16" i="1"/>
  <c r="N16" i="1" s="1"/>
  <c r="L17" i="1"/>
  <c r="M17" i="1"/>
  <c r="N17" i="1" s="1"/>
  <c r="L18" i="1"/>
  <c r="M18" i="1"/>
  <c r="N18" i="1" s="1"/>
  <c r="L19" i="1"/>
  <c r="M19" i="1"/>
  <c r="N19" i="1" s="1"/>
  <c r="L20" i="1"/>
  <c r="M20" i="1"/>
  <c r="N20" i="1"/>
  <c r="M13" i="1"/>
  <c r="N13" i="1" s="1"/>
  <c r="M2" i="1"/>
  <c r="L13" i="1"/>
  <c r="L3" i="1"/>
  <c r="M3" i="1"/>
  <c r="N3" i="1" s="1"/>
  <c r="L4" i="1"/>
  <c r="M4" i="1"/>
  <c r="N4" i="1" s="1"/>
  <c r="L5" i="1"/>
  <c r="M5" i="1"/>
  <c r="N5" i="1" s="1"/>
  <c r="L6" i="1"/>
  <c r="M6" i="1"/>
  <c r="N6" i="1" s="1"/>
  <c r="L7" i="1"/>
  <c r="M7" i="1"/>
  <c r="N7" i="1" s="1"/>
  <c r="L8" i="1"/>
  <c r="N8" i="1" s="1"/>
  <c r="M8" i="1"/>
  <c r="L9" i="1"/>
  <c r="M9" i="1"/>
  <c r="N9" i="1"/>
  <c r="N2" i="1"/>
  <c r="L2" i="1"/>
</calcChain>
</file>

<file path=xl/sharedStrings.xml><?xml version="1.0" encoding="utf-8"?>
<sst xmlns="http://schemas.openxmlformats.org/spreadsheetml/2006/main" count="277" uniqueCount="136">
  <si>
    <t>plate1_1mM_nrt21_luc.tif:0193-0048</t>
  </si>
  <si>
    <t>plate1_1mM_nrt21_luc.tif:0169-0113</t>
  </si>
  <si>
    <t>plate1_1mM_nrt21_luc.tif:0172-0161</t>
  </si>
  <si>
    <t>plate1_1mM_nrt21_luc.tif:0180-0206</t>
  </si>
  <si>
    <t>plate1_1mM_nrt21_luc.tif:0197-0270</t>
  </si>
  <si>
    <t>plate1_1mM_nrt21_luc.tif:0190-0330</t>
  </si>
  <si>
    <t>plate1_1mM_nrt21_luc.tif:0164-0389</t>
  </si>
  <si>
    <t>plate1_1mM_nrt21_luc.tif:0159-0432</t>
  </si>
  <si>
    <t>plate1_1mM_nrt21_luc.tif:0167-0475</t>
  </si>
  <si>
    <t>plate1_1mM_nrt21_luc.tif:0054-0170</t>
  </si>
  <si>
    <t>plate1_1mM_nrt21_luc.tif:0311-0339</t>
  </si>
  <si>
    <t>plate</t>
  </si>
  <si>
    <t>are</t>
  </si>
  <si>
    <t>mean</t>
  </si>
  <si>
    <t>IntDen</t>
  </si>
  <si>
    <t>median</t>
  </si>
  <si>
    <t>RawIntDen</t>
  </si>
  <si>
    <t>slice</t>
  </si>
  <si>
    <t>length</t>
  </si>
  <si>
    <t>seedling</t>
  </si>
  <si>
    <t>KNO3</t>
  </si>
  <si>
    <t>length_mm</t>
  </si>
  <si>
    <t>RawIntDen-norm_bckg</t>
  </si>
  <si>
    <t>RawIntDen_normBackg_normLen</t>
  </si>
  <si>
    <t>plate2_1mM_nrt21_luc.tif:0201-0053</t>
  </si>
  <si>
    <t>plate2_1mM_nrt21_luc.tif:0222-0106</t>
  </si>
  <si>
    <t>plate2_1mM_nrt21_luc.tif:0214-0167</t>
  </si>
  <si>
    <t>plate2_1mM_nrt21_luc.tif:0214-0231</t>
  </si>
  <si>
    <t>plate2_1mM_nrt21_luc.tif:0214-0283</t>
  </si>
  <si>
    <t>plate2_1mM_nrt21_luc.tif:0212-0330</t>
  </si>
  <si>
    <t>plate2_1mM_nrt21_luc.tif:0204-0386</t>
  </si>
  <si>
    <t>plate2_1mM_nrt21_luc.tif:0224-0446</t>
  </si>
  <si>
    <t>plate2_1mM_nrt21_luc.tif:0085-0208</t>
  </si>
  <si>
    <t>plate2_1mM_nrt21_luc.tif:0340-0361</t>
  </si>
  <si>
    <t>plate2_1mM_nrt21_luc.tif:0244-0145</t>
  </si>
  <si>
    <t>plate3_1mM_nrt21_luc.tif:0195-0066</t>
  </si>
  <si>
    <t>plate3_1mM_nrt21_luc.tif:0203-0116</t>
  </si>
  <si>
    <t>plate3_1mM_nrt21_luc.tif:0197-0174</t>
  </si>
  <si>
    <t>plate3_1mM_nrt21_luc.tif:0191-0231</t>
  </si>
  <si>
    <t>plate3_1mM_nrt21_luc.tif:0238-0279</t>
  </si>
  <si>
    <t>plate3_1mM_nrt21_luc.tif:0223-0353</t>
  </si>
  <si>
    <t>plate3_1mM_nrt21_luc.tif:0201-0410</t>
  </si>
  <si>
    <t>plate3_1mM_nrt21_luc.tif:0212-0451</t>
  </si>
  <si>
    <t>plate3_1mM_nrt21_luc.tif:0221-0146</t>
  </si>
  <si>
    <t>plate3_1mM_nrt21_luc.tif:0088-0138</t>
  </si>
  <si>
    <t>plate3_1mM_nrt21_luc.tif:0349-0339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</si>
  <si>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</si>
  <si>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</si>
  <si>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</si>
  <si>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</si>
  <si>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</si>
  <si>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</si>
  <si>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</si>
  <si>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</si>
  <si>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background</t>
  </si>
  <si>
    <t>1mM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</si>
  <si>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</si>
  <si>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</si>
  <si>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</si>
  <si>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</si>
  <si>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</si>
  <si>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</si>
  <si>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</si>
  <si>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</si>
  <si>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</si>
  <si>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</si>
  <si>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</si>
  <si>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</si>
  <si>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</si>
  <si>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</si>
  <si>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</si>
  <si>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</si>
  <si>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plate4_1mM_nrt21_luc.tif:0214-0066</t>
  </si>
  <si>
    <t>plate4_1mM_nrt21_luc.tif:0200-0122</t>
  </si>
  <si>
    <t>plate4_1mM_nrt21_luc.tif:0212-0179</t>
  </si>
  <si>
    <t>plate4_1mM_nrt21_luc.tif:0220-0221</t>
  </si>
  <si>
    <t>plate4_1mM_nrt21_luc.tif:0215-0303</t>
  </si>
  <si>
    <t>plate4_1mM_nrt21_luc.tif:0208-0354</t>
  </si>
  <si>
    <t>plate4_1mM_nrt21_luc.tif:0214-0406</t>
  </si>
  <si>
    <t>plate4_1mM_nrt21_luc.tif:0204-0460</t>
  </si>
  <si>
    <t>plate4_1mM_nrt21_luc.tif:0207-0145</t>
  </si>
  <si>
    <t>plate4_1mM_nrt21_luc.tif:0095-0154</t>
  </si>
  <si>
    <t>plate4_1mM_nrt21_luc.tif:0321-0345</t>
  </si>
  <si>
    <t>seedling25</t>
  </si>
  <si>
    <t>seedling26</t>
  </si>
  <si>
    <t>seedling27</t>
  </si>
  <si>
    <t>seedling28</t>
  </si>
  <si>
    <t>seedling29</t>
  </si>
  <si>
    <t>seedling30</t>
  </si>
  <si>
    <t>seedling31</t>
  </si>
  <si>
    <t>seedling32</t>
  </si>
  <si>
    <t>plate1_10mM_nrt21_luc.tif:0193-0068</t>
  </si>
  <si>
    <t>plate1_10mM_nrt21_luc.tif:0208-0118</t>
  </si>
  <si>
    <t>plate1_10mM_nrt21_luc.tif:0187-0170</t>
  </si>
  <si>
    <t>plate1_10mM_nrt21_luc.tif:0207-0222</t>
  </si>
  <si>
    <t>plate1_10mM_nrt21_luc.tif:0224-0276</t>
  </si>
  <si>
    <t>plate1_10mM_nrt21_luc.tif:0211-0340</t>
  </si>
  <si>
    <t>plate1_10mM_nrt21_luc.tif:0206-0387</t>
  </si>
  <si>
    <t>plate1_10mM_nrt21_luc.tif:0204-0443</t>
  </si>
  <si>
    <t>plate1_10mM_nrt21_luc.tif:0207-0247</t>
  </si>
  <si>
    <t>plate1_10mM_nrt21_luc.tif:0083-0153</t>
  </si>
  <si>
    <t>plate1_10mM_nrt21_luc.tif:0318-0338</t>
  </si>
  <si>
    <t>10mM</t>
  </si>
  <si>
    <t>plate2_10mM_nrt21_luc.tif:0228-0057</t>
  </si>
  <si>
    <t>plate2_10mM_nrt21_luc.tif:0206-0103</t>
  </si>
  <si>
    <t>plate2_10mM_nrt21_luc.tif:0212-0174</t>
  </si>
  <si>
    <t>plate2_10mM_nrt21_luc.tif:0207-0228</t>
  </si>
  <si>
    <t>plate2_10mM_nrt21_luc.tif:0215-0276</t>
  </si>
  <si>
    <t>plate2_10mM_nrt21_luc.tif:0210-0335</t>
  </si>
  <si>
    <t>plate2_10mM_nrt21_luc.tif:0207-0401</t>
  </si>
  <si>
    <t>plate2_10mM_nrt21_luc.tif:0210-0453</t>
  </si>
  <si>
    <t>plate2_10mM_nrt21_luc.tif:0216-0366</t>
  </si>
  <si>
    <t>plate2_10mM_nrt21_luc.tif:0090-0172</t>
  </si>
  <si>
    <t>plate2_10mM_nrt21_luc.tif:0331-0359</t>
  </si>
  <si>
    <t>plate3_10mM_nrt21_luc.tif:0201-0032</t>
  </si>
  <si>
    <t>plate3_10mM_nrt21_luc.tif:0196-0105</t>
  </si>
  <si>
    <t>plate3_10mM_nrt21_luc.tif:0205-0150</t>
  </si>
  <si>
    <t>plate3_10mM_nrt21_luc.tif:0205-0227</t>
  </si>
  <si>
    <t>plate3_10mM_nrt21_luc.tif:0215-0277</t>
  </si>
  <si>
    <t>plate3_10mM_nrt21_luc.tif:0217-0330</t>
  </si>
  <si>
    <t>plate3_10mM_nrt21_luc.tif:0214-0401</t>
  </si>
  <si>
    <t>plate3_10mM_nrt21_luc.tif:0238-0454</t>
  </si>
  <si>
    <t>plate3_10mM_nrt21_luc.tif:0200-0193</t>
  </si>
  <si>
    <t>plate3_10mM_nrt21_luc.tif:0092-0174</t>
  </si>
  <si>
    <t>plate3_10mM_nrt21_luc.tif:0334-0346</t>
  </si>
  <si>
    <t>plate4_10mM_nrt21_luc.tif:0180-0068</t>
  </si>
  <si>
    <t>plate4_10mM_nrt21_luc.tif:0213-0112</t>
  </si>
  <si>
    <t>plate4_10mM_nrt21_luc.tif:0208-0180</t>
  </si>
  <si>
    <t>plate4_10mM_nrt21_luc.tif:0183-0228</t>
  </si>
  <si>
    <t>plate4_10mM_nrt21_luc.tif:0202-0291</t>
  </si>
  <si>
    <t>plate4_10mM_nrt21_luc.tif:0205-0344</t>
  </si>
  <si>
    <t>plate4_10mM_nrt21_luc.tif:0198-0405</t>
  </si>
  <si>
    <t>plate4_10mM_nrt21_luc.tif:0204-0457</t>
  </si>
  <si>
    <t>plate4_10mM_nrt21_luc.tif:0202-0148</t>
  </si>
  <si>
    <t>plate4_10mM_nrt21_luc.tif:0059-0209</t>
  </si>
  <si>
    <t>plate4_10mM_nrt21_luc.tif:0316-0388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</si>
</sst>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6D3E-56E4-E546-8FB9-3A924862AAC4}">
  <dimension ref="A1:N89"/>
  <sheetViews>
    <sheetView tabSelected="1" workbookViewId="0">
      <selection activeCell="M1" sqref="M1:N86"/>
    </sheetView>
  </sheetViews>
  <sheetFormatPr baseColWidth="10" defaultRowHeight="16" x14ac:dyDescent="0.2"/>
  <cols>
    <col min="2" max="2" width="32.5" bestFit="1" customWidth="1"/>
    <col min="10" max="10" width="10.5" bestFit="1" customWidth="1"/>
    <col min="11" max="11" width="6.5" bestFit="1" customWidth="1"/>
    <col min="12" max="12" width="10.6640625" bestFit="1" customWidth="1"/>
    <col min="13" max="13" width="20" bestFit="1" customWidth="1"/>
    <col min="14" max="14" width="29" bestFit="1" customWidth="1"/>
  </cols>
  <sheetData>
    <row r="1" spans="1:14" x14ac:dyDescent="0.2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s="1" t="s">
        <v>23</v>
      </c>
    </row>
    <row r="2" spans="1:14" x14ac:dyDescent="0.2">
      <c r="A2">
        <v>1</v>
      </c>
      <c r="B2" t="s">
        <v>0</v>
      </c>
      <c r="C2">
        <v>2080</v>
      </c>
      <c r="D2">
        <v>303.387</v>
      </c>
      <c r="E2">
        <v>631045.55700000003</v>
      </c>
      <c r="F2">
        <v>287.02999999999997</v>
      </c>
      <c r="G2">
        <v>631045.55700000003</v>
      </c>
      <c r="H2">
        <v>1</v>
      </c>
      <c r="I2">
        <v>206.99799999999999</v>
      </c>
      <c r="J2" t="s">
        <v>46</v>
      </c>
      <c r="K2" t="s">
        <v>55</v>
      </c>
      <c r="L2">
        <f>I2/4.95</f>
        <v>41.817777777777778</v>
      </c>
      <c r="M2">
        <f>G2-(((G$10/C$10*C2)+(G$11/C$11*C2)+(G$12/C$12*C2))/3)</f>
        <v>46925.85689760535</v>
      </c>
      <c r="N2" s="1">
        <f>M2/L2</f>
        <v>1122.150898284749</v>
      </c>
    </row>
    <row r="3" spans="1:14" x14ac:dyDescent="0.2">
      <c r="A3">
        <v>2</v>
      </c>
      <c r="B3" t="s">
        <v>1</v>
      </c>
      <c r="C3">
        <v>1810</v>
      </c>
      <c r="D3">
        <v>303.34500000000003</v>
      </c>
      <c r="E3">
        <v>549054.72699999996</v>
      </c>
      <c r="F3">
        <v>288.84500000000003</v>
      </c>
      <c r="G3">
        <v>549054.72699999996</v>
      </c>
      <c r="H3">
        <v>1</v>
      </c>
      <c r="I3">
        <v>179.989</v>
      </c>
      <c r="J3" t="s">
        <v>47</v>
      </c>
      <c r="K3" t="s">
        <v>55</v>
      </c>
      <c r="L3">
        <f t="shared" ref="L3:L9" si="0">I3/4.95</f>
        <v>36.361414141414144</v>
      </c>
      <c r="M3">
        <f t="shared" ref="M3:M9" si="1">G3-(((G$10/C$10*C3)+(G$11/C$11*C3)+(G$12/C$12*C3))/3)</f>
        <v>40758.257199358428</v>
      </c>
      <c r="N3" s="1">
        <f t="shared" ref="N3:N9" si="2">M3/L3</f>
        <v>1120.9205736840818</v>
      </c>
    </row>
    <row r="4" spans="1:14" x14ac:dyDescent="0.2">
      <c r="A4">
        <v>3</v>
      </c>
      <c r="B4" t="s">
        <v>2</v>
      </c>
      <c r="C4">
        <v>1840</v>
      </c>
      <c r="D4">
        <v>308.714</v>
      </c>
      <c r="E4">
        <v>568033.14099999995</v>
      </c>
      <c r="F4">
        <v>291.64999999999998</v>
      </c>
      <c r="G4">
        <v>568033.14099999995</v>
      </c>
      <c r="H4">
        <v>1</v>
      </c>
      <c r="I4">
        <v>182.995</v>
      </c>
      <c r="J4" t="s">
        <v>48</v>
      </c>
      <c r="K4" t="s">
        <v>55</v>
      </c>
      <c r="L4">
        <f t="shared" si="0"/>
        <v>36.968686868686866</v>
      </c>
      <c r="M4">
        <f t="shared" si="1"/>
        <v>51311.867832496937</v>
      </c>
      <c r="N4" s="1">
        <f t="shared" si="2"/>
        <v>1387.9818889634134</v>
      </c>
    </row>
    <row r="5" spans="1:14" x14ac:dyDescent="0.2">
      <c r="A5">
        <v>4</v>
      </c>
      <c r="B5" t="s">
        <v>3</v>
      </c>
      <c r="C5">
        <v>1920</v>
      </c>
      <c r="D5">
        <v>305.43700000000001</v>
      </c>
      <c r="E5">
        <v>586438.82299999997</v>
      </c>
      <c r="F5">
        <v>291.55900000000003</v>
      </c>
      <c r="G5">
        <v>586438.82299999997</v>
      </c>
      <c r="H5">
        <v>1</v>
      </c>
      <c r="I5">
        <v>190.98699999999999</v>
      </c>
      <c r="J5" t="s">
        <v>49</v>
      </c>
      <c r="K5" t="s">
        <v>55</v>
      </c>
      <c r="L5">
        <f t="shared" si="0"/>
        <v>38.583232323232323</v>
      </c>
      <c r="M5">
        <f t="shared" si="1"/>
        <v>47251.407520866487</v>
      </c>
      <c r="N5" s="1">
        <f t="shared" si="2"/>
        <v>1224.6617163905873</v>
      </c>
    </row>
    <row r="6" spans="1:14" x14ac:dyDescent="0.2">
      <c r="A6">
        <v>5</v>
      </c>
      <c r="B6" t="s">
        <v>4</v>
      </c>
      <c r="C6">
        <v>2310</v>
      </c>
      <c r="D6">
        <v>322.08999999999997</v>
      </c>
      <c r="E6">
        <v>744026.77099999995</v>
      </c>
      <c r="F6">
        <v>296.041</v>
      </c>
      <c r="G6">
        <v>744026.77099999995</v>
      </c>
      <c r="H6">
        <v>1</v>
      </c>
      <c r="I6">
        <v>229.99199999999999</v>
      </c>
      <c r="J6" t="s">
        <v>50</v>
      </c>
      <c r="K6" t="s">
        <v>55</v>
      </c>
      <c r="L6">
        <f t="shared" si="0"/>
        <v>46.463030303030301</v>
      </c>
      <c r="M6">
        <f t="shared" si="1"/>
        <v>95316.911751667387</v>
      </c>
      <c r="N6" s="1">
        <f t="shared" si="2"/>
        <v>2051.4570644663881</v>
      </c>
    </row>
    <row r="7" spans="1:14" x14ac:dyDescent="0.2">
      <c r="A7">
        <v>6</v>
      </c>
      <c r="B7" t="s">
        <v>5</v>
      </c>
      <c r="C7">
        <v>2180</v>
      </c>
      <c r="D7">
        <v>320.77499999999998</v>
      </c>
      <c r="E7">
        <v>699289.04200000002</v>
      </c>
      <c r="F7">
        <v>295.87400000000002</v>
      </c>
      <c r="G7">
        <v>699289.04200000002</v>
      </c>
      <c r="H7">
        <v>1</v>
      </c>
      <c r="I7">
        <v>216.994</v>
      </c>
      <c r="J7" t="s">
        <v>51</v>
      </c>
      <c r="K7" t="s">
        <v>55</v>
      </c>
      <c r="L7">
        <f t="shared" si="0"/>
        <v>43.837171717171714</v>
      </c>
      <c r="M7">
        <f t="shared" si="1"/>
        <v>87086.664008067106</v>
      </c>
      <c r="N7" s="1">
        <f t="shared" si="2"/>
        <v>1986.594038728869</v>
      </c>
    </row>
    <row r="8" spans="1:14" x14ac:dyDescent="0.2">
      <c r="A8">
        <v>7</v>
      </c>
      <c r="B8" t="s">
        <v>6</v>
      </c>
      <c r="C8">
        <v>1580</v>
      </c>
      <c r="D8">
        <v>294.79500000000002</v>
      </c>
      <c r="E8">
        <v>465776.5</v>
      </c>
      <c r="F8">
        <v>286.298</v>
      </c>
      <c r="G8">
        <v>465776.5</v>
      </c>
      <c r="H8">
        <v>1</v>
      </c>
      <c r="I8">
        <v>156.99799999999999</v>
      </c>
      <c r="J8" t="s">
        <v>52</v>
      </c>
      <c r="K8" t="s">
        <v>55</v>
      </c>
      <c r="L8">
        <f t="shared" si="0"/>
        <v>31.716767676767674</v>
      </c>
      <c r="M8">
        <f t="shared" si="1"/>
        <v>22070.189345296298</v>
      </c>
      <c r="N8" s="1">
        <f t="shared" si="2"/>
        <v>695.85241378372132</v>
      </c>
    </row>
    <row r="9" spans="1:14" x14ac:dyDescent="0.2">
      <c r="A9">
        <v>8</v>
      </c>
      <c r="B9" t="s">
        <v>7</v>
      </c>
      <c r="C9">
        <v>1600</v>
      </c>
      <c r="D9">
        <v>292.69200000000001</v>
      </c>
      <c r="E9">
        <v>468306.47</v>
      </c>
      <c r="F9">
        <v>284.63</v>
      </c>
      <c r="G9">
        <v>468306.47</v>
      </c>
      <c r="H9">
        <v>1</v>
      </c>
      <c r="I9">
        <v>158.99799999999999</v>
      </c>
      <c r="J9" t="s">
        <v>53</v>
      </c>
      <c r="K9" t="s">
        <v>55</v>
      </c>
      <c r="L9">
        <f t="shared" si="0"/>
        <v>32.120808080808075</v>
      </c>
      <c r="M9">
        <f t="shared" si="1"/>
        <v>18983.623767388694</v>
      </c>
      <c r="N9" s="1">
        <f t="shared" si="2"/>
        <v>591.00704190350848</v>
      </c>
    </row>
    <row r="10" spans="1:14" x14ac:dyDescent="0.2">
      <c r="A10">
        <v>9</v>
      </c>
      <c r="B10" t="s">
        <v>8</v>
      </c>
      <c r="C10">
        <v>1730</v>
      </c>
      <c r="D10">
        <v>280.75099999999998</v>
      </c>
      <c r="E10">
        <v>485699.65299999999</v>
      </c>
      <c r="F10">
        <v>280.80599999999998</v>
      </c>
      <c r="G10">
        <v>485699.65299999999</v>
      </c>
      <c r="H10">
        <v>1</v>
      </c>
      <c r="I10">
        <v>172</v>
      </c>
      <c r="J10" t="s">
        <v>54</v>
      </c>
      <c r="K10" t="s">
        <v>55</v>
      </c>
    </row>
    <row r="11" spans="1:14" x14ac:dyDescent="0.2">
      <c r="A11">
        <v>10</v>
      </c>
      <c r="B11" t="s">
        <v>9</v>
      </c>
      <c r="C11">
        <v>1820</v>
      </c>
      <c r="D11">
        <v>281.11399999999998</v>
      </c>
      <c r="E11">
        <v>511627.147</v>
      </c>
      <c r="F11">
        <v>281.06700000000001</v>
      </c>
      <c r="G11">
        <v>511627.147</v>
      </c>
      <c r="H11">
        <v>1</v>
      </c>
      <c r="I11">
        <v>181</v>
      </c>
      <c r="J11" t="s">
        <v>54</v>
      </c>
      <c r="K11" t="s">
        <v>55</v>
      </c>
    </row>
    <row r="12" spans="1:14" x14ac:dyDescent="0.2">
      <c r="A12">
        <v>11</v>
      </c>
      <c r="B12" t="s">
        <v>10</v>
      </c>
      <c r="C12">
        <v>1730</v>
      </c>
      <c r="D12">
        <v>280.61500000000001</v>
      </c>
      <c r="E12">
        <v>485464.42599999998</v>
      </c>
      <c r="F12">
        <v>280.64499999999998</v>
      </c>
      <c r="G12">
        <v>485464.42599999998</v>
      </c>
      <c r="H12">
        <v>1</v>
      </c>
      <c r="I12">
        <v>171.999</v>
      </c>
      <c r="J12" t="s">
        <v>54</v>
      </c>
      <c r="K12" t="s">
        <v>55</v>
      </c>
    </row>
    <row r="13" spans="1:14" x14ac:dyDescent="0.2">
      <c r="A13">
        <v>1</v>
      </c>
      <c r="B13" t="s">
        <v>24</v>
      </c>
      <c r="C13">
        <v>1620</v>
      </c>
      <c r="D13">
        <v>293.42500000000001</v>
      </c>
      <c r="E13">
        <v>475349.24300000002</v>
      </c>
      <c r="F13">
        <v>284.92899999999997</v>
      </c>
      <c r="G13">
        <v>475349.24300000002</v>
      </c>
      <c r="H13">
        <v>1</v>
      </c>
      <c r="I13">
        <v>160.99799999999999</v>
      </c>
      <c r="J13" t="s">
        <v>56</v>
      </c>
      <c r="K13" t="s">
        <v>55</v>
      </c>
      <c r="L13">
        <f>I13/4.95</f>
        <v>32.524848484848484</v>
      </c>
      <c r="M13">
        <f>G13-(((G$21/C$21*C13)+(G$22/C$22*C13)+(G$23/C$23*C13))/3)</f>
        <v>18731.963941789698</v>
      </c>
      <c r="N13" s="1">
        <f>M13/L13</f>
        <v>575.92778489086209</v>
      </c>
    </row>
    <row r="14" spans="1:14" x14ac:dyDescent="0.2">
      <c r="A14">
        <v>2</v>
      </c>
      <c r="B14" t="s">
        <v>25</v>
      </c>
      <c r="C14">
        <v>1990</v>
      </c>
      <c r="D14">
        <v>314.303</v>
      </c>
      <c r="E14">
        <v>625463.55099999998</v>
      </c>
      <c r="F14">
        <v>293.79199999999997</v>
      </c>
      <c r="G14">
        <v>625463.55099999998</v>
      </c>
      <c r="H14">
        <v>1</v>
      </c>
      <c r="I14">
        <v>197.99700000000001</v>
      </c>
      <c r="J14" t="s">
        <v>57</v>
      </c>
      <c r="K14" t="s">
        <v>55</v>
      </c>
      <c r="L14">
        <f t="shared" ref="L14:L20" si="3">I14/4.95</f>
        <v>39.99939393939394</v>
      </c>
      <c r="M14">
        <f t="shared" ref="M14:M20" si="4">G14-(((G$21/C$21*C14)+(G$22/C$22*C14)+(G$23/C$23*C14))/3)</f>
        <v>64557.140305037959</v>
      </c>
      <c r="N14" s="1">
        <f t="shared" ref="N14:N20" si="5">M14/L14</f>
        <v>1613.9529614586984</v>
      </c>
    </row>
    <row r="15" spans="1:14" x14ac:dyDescent="0.2">
      <c r="A15">
        <v>3</v>
      </c>
      <c r="B15" t="s">
        <v>26</v>
      </c>
      <c r="C15">
        <v>1760</v>
      </c>
      <c r="D15">
        <v>308.57799999999997</v>
      </c>
      <c r="E15">
        <v>543097.61199999996</v>
      </c>
      <c r="F15">
        <v>294.31599999999997</v>
      </c>
      <c r="G15">
        <v>543097.61199999996</v>
      </c>
      <c r="H15">
        <v>1</v>
      </c>
      <c r="I15">
        <v>174.99</v>
      </c>
      <c r="J15" t="s">
        <v>58</v>
      </c>
      <c r="K15" t="s">
        <v>55</v>
      </c>
      <c r="L15">
        <f t="shared" si="3"/>
        <v>35.351515151515152</v>
      </c>
      <c r="M15">
        <f t="shared" si="4"/>
        <v>47019.580430586298</v>
      </c>
      <c r="N15" s="1">
        <f t="shared" si="5"/>
        <v>1330.0584212320828</v>
      </c>
    </row>
    <row r="16" spans="1:14" x14ac:dyDescent="0.2">
      <c r="A16">
        <v>4</v>
      </c>
      <c r="B16" t="s">
        <v>27</v>
      </c>
      <c r="C16">
        <v>1920</v>
      </c>
      <c r="D16">
        <v>322.86700000000002</v>
      </c>
      <c r="E16">
        <v>619903.91099999996</v>
      </c>
      <c r="F16">
        <v>297.505</v>
      </c>
      <c r="G16">
        <v>619903.91099999996</v>
      </c>
      <c r="H16">
        <v>1</v>
      </c>
      <c r="I16">
        <v>190.99299999999999</v>
      </c>
      <c r="J16" t="s">
        <v>59</v>
      </c>
      <c r="K16" t="s">
        <v>55</v>
      </c>
      <c r="L16">
        <f t="shared" si="3"/>
        <v>38.584444444444443</v>
      </c>
      <c r="M16">
        <f t="shared" si="4"/>
        <v>78727.87656063959</v>
      </c>
      <c r="N16" s="1">
        <f t="shared" si="5"/>
        <v>2040.4045644351677</v>
      </c>
    </row>
    <row r="17" spans="1:14" x14ac:dyDescent="0.2">
      <c r="A17">
        <v>5</v>
      </c>
      <c r="B17" t="s">
        <v>28</v>
      </c>
      <c r="C17">
        <v>1910</v>
      </c>
      <c r="D17">
        <v>317.75700000000001</v>
      </c>
      <c r="E17">
        <v>606915.85400000005</v>
      </c>
      <c r="F17">
        <v>294.82600000000002</v>
      </c>
      <c r="G17">
        <v>606915.85400000005</v>
      </c>
      <c r="H17">
        <v>1</v>
      </c>
      <c r="I17">
        <v>189.98500000000001</v>
      </c>
      <c r="J17" t="s">
        <v>60</v>
      </c>
      <c r="K17" t="s">
        <v>55</v>
      </c>
      <c r="L17">
        <f t="shared" si="3"/>
        <v>38.38080808080808</v>
      </c>
      <c r="M17">
        <f t="shared" si="4"/>
        <v>68558.44474001124</v>
      </c>
      <c r="N17" s="1">
        <f t="shared" si="5"/>
        <v>1786.268923667951</v>
      </c>
    </row>
    <row r="18" spans="1:14" x14ac:dyDescent="0.2">
      <c r="A18">
        <v>6</v>
      </c>
      <c r="B18" t="s">
        <v>29</v>
      </c>
      <c r="C18">
        <v>1750</v>
      </c>
      <c r="D18">
        <v>306.12099999999998</v>
      </c>
      <c r="E18">
        <v>535711.73699999996</v>
      </c>
      <c r="F18">
        <v>292.34300000000002</v>
      </c>
      <c r="G18">
        <v>535711.73699999996</v>
      </c>
      <c r="H18">
        <v>1</v>
      </c>
      <c r="I18">
        <v>173.98400000000001</v>
      </c>
      <c r="J18" t="s">
        <v>61</v>
      </c>
      <c r="K18" t="s">
        <v>55</v>
      </c>
      <c r="L18">
        <f t="shared" si="3"/>
        <v>35.148282828282831</v>
      </c>
      <c r="M18">
        <f t="shared" si="4"/>
        <v>42452.330609957979</v>
      </c>
      <c r="N18" s="1">
        <f t="shared" si="5"/>
        <v>1207.8066748625849</v>
      </c>
    </row>
    <row r="19" spans="1:14" x14ac:dyDescent="0.2">
      <c r="A19">
        <v>7</v>
      </c>
      <c r="B19" t="s">
        <v>30</v>
      </c>
      <c r="C19">
        <v>1640</v>
      </c>
      <c r="D19">
        <v>328.74900000000002</v>
      </c>
      <c r="E19">
        <v>539147.93900000001</v>
      </c>
      <c r="F19">
        <v>304.58800000000002</v>
      </c>
      <c r="G19">
        <v>539147.93900000001</v>
      </c>
      <c r="H19">
        <v>1</v>
      </c>
      <c r="I19">
        <v>162.971</v>
      </c>
      <c r="J19" t="s">
        <v>62</v>
      </c>
      <c r="K19" t="s">
        <v>55</v>
      </c>
      <c r="L19">
        <f t="shared" si="3"/>
        <v>32.923434343434344</v>
      </c>
      <c r="M19">
        <f t="shared" si="4"/>
        <v>76893.409583046334</v>
      </c>
      <c r="N19" s="1">
        <f t="shared" si="5"/>
        <v>2335.5221323798673</v>
      </c>
    </row>
    <row r="20" spans="1:14" x14ac:dyDescent="0.2">
      <c r="A20">
        <v>8</v>
      </c>
      <c r="B20" t="s">
        <v>31</v>
      </c>
      <c r="C20">
        <v>1970</v>
      </c>
      <c r="D20">
        <v>300.55399999999997</v>
      </c>
      <c r="E20">
        <v>592092.26500000001</v>
      </c>
      <c r="F20">
        <v>287.14400000000001</v>
      </c>
      <c r="G20">
        <v>592092.26500000001</v>
      </c>
      <c r="H20">
        <v>1</v>
      </c>
      <c r="I20">
        <v>195.99700000000001</v>
      </c>
      <c r="J20" t="s">
        <v>63</v>
      </c>
      <c r="K20" t="s">
        <v>55</v>
      </c>
      <c r="L20">
        <f t="shared" si="3"/>
        <v>39.595353535353539</v>
      </c>
      <c r="M20">
        <f t="shared" si="4"/>
        <v>36823.104663781356</v>
      </c>
      <c r="N20" s="1">
        <f t="shared" si="5"/>
        <v>929.98550021539972</v>
      </c>
    </row>
    <row r="21" spans="1:14" x14ac:dyDescent="0.2">
      <c r="A21">
        <v>9</v>
      </c>
      <c r="B21" t="s">
        <v>32</v>
      </c>
      <c r="C21">
        <v>2070</v>
      </c>
      <c r="D21">
        <v>281.74200000000002</v>
      </c>
      <c r="E21">
        <v>583206.81499999994</v>
      </c>
      <c r="F21">
        <v>281.75599999999997</v>
      </c>
      <c r="G21">
        <v>583206.81499999994</v>
      </c>
      <c r="H21">
        <v>1</v>
      </c>
      <c r="I21">
        <v>206</v>
      </c>
      <c r="J21" t="s">
        <v>54</v>
      </c>
      <c r="K21" t="s">
        <v>55</v>
      </c>
    </row>
    <row r="22" spans="1:14" x14ac:dyDescent="0.2">
      <c r="A22">
        <v>10</v>
      </c>
      <c r="B22" t="s">
        <v>33</v>
      </c>
      <c r="C22">
        <v>1810</v>
      </c>
      <c r="D22">
        <v>281.67700000000002</v>
      </c>
      <c r="E22">
        <v>509835.48100000003</v>
      </c>
      <c r="F22">
        <v>281.68</v>
      </c>
      <c r="G22">
        <v>509835.48100000003</v>
      </c>
      <c r="H22">
        <v>1</v>
      </c>
      <c r="I22">
        <v>180</v>
      </c>
      <c r="J22" t="s">
        <v>54</v>
      </c>
      <c r="K22" t="s">
        <v>55</v>
      </c>
    </row>
    <row r="23" spans="1:14" x14ac:dyDescent="0.2">
      <c r="A23">
        <v>11</v>
      </c>
      <c r="B23" t="s">
        <v>34</v>
      </c>
      <c r="C23">
        <v>1820</v>
      </c>
      <c r="D23">
        <v>282.16800000000001</v>
      </c>
      <c r="E23">
        <v>513545.88699999999</v>
      </c>
      <c r="F23">
        <v>282.11900000000003</v>
      </c>
      <c r="G23">
        <v>513545.88699999999</v>
      </c>
      <c r="H23">
        <v>1</v>
      </c>
      <c r="I23">
        <v>181</v>
      </c>
      <c r="J23" t="s">
        <v>54</v>
      </c>
      <c r="K23" t="s">
        <v>55</v>
      </c>
    </row>
    <row r="24" spans="1:14" x14ac:dyDescent="0.2">
      <c r="A24">
        <v>1</v>
      </c>
      <c r="B24" t="s">
        <v>35</v>
      </c>
      <c r="C24">
        <v>1380</v>
      </c>
      <c r="D24">
        <v>283.94600000000003</v>
      </c>
      <c r="E24">
        <v>391845.696</v>
      </c>
      <c r="F24">
        <v>281.565</v>
      </c>
      <c r="G24">
        <v>391845.696</v>
      </c>
      <c r="H24">
        <v>1</v>
      </c>
      <c r="I24">
        <v>136.995</v>
      </c>
      <c r="J24" t="s">
        <v>64</v>
      </c>
      <c r="K24" t="s">
        <v>55</v>
      </c>
      <c r="L24">
        <f t="shared" ref="L24" si="6">I24/4.95</f>
        <v>27.675757575757576</v>
      </c>
      <c r="M24">
        <f>G24-(((G$32/C$32*C24)+(G$33/C$33*C24)+(G$34/C$34*C24))/3)</f>
        <v>6065.9109866162762</v>
      </c>
      <c r="N24" s="1">
        <f t="shared" ref="N24" si="7">M24/L24</f>
        <v>219.17777571262138</v>
      </c>
    </row>
    <row r="25" spans="1:14" x14ac:dyDescent="0.2">
      <c r="A25">
        <v>2</v>
      </c>
      <c r="B25" t="s">
        <v>36</v>
      </c>
      <c r="C25">
        <v>1540</v>
      </c>
      <c r="D25">
        <v>283.73200000000003</v>
      </c>
      <c r="E25">
        <v>436946.52600000001</v>
      </c>
      <c r="F25">
        <v>281.45100000000002</v>
      </c>
      <c r="G25">
        <v>436946.52600000001</v>
      </c>
      <c r="H25">
        <v>1</v>
      </c>
      <c r="I25">
        <v>152.99299999999999</v>
      </c>
      <c r="J25" t="s">
        <v>65</v>
      </c>
      <c r="K25" t="s">
        <v>55</v>
      </c>
      <c r="L25">
        <f t="shared" ref="L25:L31" si="8">I25/4.95</f>
        <v>30.907676767676765</v>
      </c>
      <c r="M25">
        <f t="shared" ref="M25:M31" si="9">G25-(((G$32/C$32*C25)+(G$33/C$33*C25)+(G$34/C$34*C25))/3)</f>
        <v>6438.6499705717433</v>
      </c>
      <c r="N25" s="1">
        <f t="shared" ref="N25:N31" si="10">M25/L25</f>
        <v>208.31879467903846</v>
      </c>
    </row>
    <row r="26" spans="1:14" x14ac:dyDescent="0.2">
      <c r="A26">
        <v>3</v>
      </c>
      <c r="B26" t="s">
        <v>37</v>
      </c>
      <c r="C26">
        <v>1500</v>
      </c>
      <c r="D26">
        <v>292.43400000000003</v>
      </c>
      <c r="E26">
        <v>438650.26</v>
      </c>
      <c r="F26">
        <v>285.55500000000001</v>
      </c>
      <c r="G26">
        <v>438650.26</v>
      </c>
      <c r="H26">
        <v>1</v>
      </c>
      <c r="I26">
        <v>148.995</v>
      </c>
      <c r="J26" t="s">
        <v>66</v>
      </c>
      <c r="K26" t="s">
        <v>55</v>
      </c>
      <c r="L26">
        <f t="shared" si="8"/>
        <v>30.1</v>
      </c>
      <c r="M26">
        <f t="shared" si="9"/>
        <v>19324.40672458295</v>
      </c>
      <c r="N26" s="1">
        <f t="shared" si="10"/>
        <v>642.00686792634383</v>
      </c>
    </row>
    <row r="27" spans="1:14" x14ac:dyDescent="0.2">
      <c r="A27">
        <v>4</v>
      </c>
      <c r="B27" t="s">
        <v>38</v>
      </c>
      <c r="C27">
        <v>1300</v>
      </c>
      <c r="D27">
        <v>287.697</v>
      </c>
      <c r="E27">
        <v>374006.04599999997</v>
      </c>
      <c r="F27">
        <v>284.46499999999997</v>
      </c>
      <c r="G27">
        <v>374006.04599999997</v>
      </c>
      <c r="H27">
        <v>1</v>
      </c>
      <c r="I27">
        <v>128.999</v>
      </c>
      <c r="J27" t="s">
        <v>67</v>
      </c>
      <c r="K27" t="s">
        <v>55</v>
      </c>
      <c r="L27">
        <f t="shared" si="8"/>
        <v>26.060404040404038</v>
      </c>
      <c r="M27">
        <f t="shared" si="9"/>
        <v>10590.306494638498</v>
      </c>
      <c r="N27" s="1">
        <f t="shared" si="10"/>
        <v>406.37537615377306</v>
      </c>
    </row>
    <row r="28" spans="1:14" x14ac:dyDescent="0.2">
      <c r="A28">
        <v>5</v>
      </c>
      <c r="B28" t="s">
        <v>39</v>
      </c>
      <c r="C28">
        <v>2190</v>
      </c>
      <c r="D28">
        <v>310.5</v>
      </c>
      <c r="E28">
        <v>679995.95900000003</v>
      </c>
      <c r="F28">
        <v>291.50700000000001</v>
      </c>
      <c r="G28">
        <v>679995.95900000003</v>
      </c>
      <c r="H28">
        <v>1</v>
      </c>
      <c r="I28">
        <v>217.99199999999999</v>
      </c>
      <c r="J28" t="s">
        <v>68</v>
      </c>
      <c r="K28" t="s">
        <v>55</v>
      </c>
      <c r="L28">
        <f t="shared" si="8"/>
        <v>44.038787878787872</v>
      </c>
      <c r="M28">
        <f t="shared" si="9"/>
        <v>67780.213217891171</v>
      </c>
      <c r="N28" s="1">
        <f t="shared" si="10"/>
        <v>1539.1026066486904</v>
      </c>
    </row>
    <row r="29" spans="1:14" x14ac:dyDescent="0.2">
      <c r="A29">
        <v>6</v>
      </c>
      <c r="B29" t="s">
        <v>40</v>
      </c>
      <c r="C29">
        <v>1950</v>
      </c>
      <c r="D29">
        <v>311.97500000000002</v>
      </c>
      <c r="E29">
        <v>608350.42799999996</v>
      </c>
      <c r="F29">
        <v>290.36500000000001</v>
      </c>
      <c r="G29">
        <v>608350.42799999996</v>
      </c>
      <c r="H29">
        <v>1</v>
      </c>
      <c r="I29">
        <v>193.995</v>
      </c>
      <c r="J29" t="s">
        <v>69</v>
      </c>
      <c r="K29" t="s">
        <v>55</v>
      </c>
      <c r="L29">
        <f t="shared" si="8"/>
        <v>39.190909090909088</v>
      </c>
      <c r="M29">
        <f t="shared" si="9"/>
        <v>63226.818741957773</v>
      </c>
      <c r="N29" s="1">
        <f t="shared" si="10"/>
        <v>1613.3031922095468</v>
      </c>
    </row>
    <row r="30" spans="1:14" x14ac:dyDescent="0.2">
      <c r="A30">
        <v>7</v>
      </c>
      <c r="B30" t="s">
        <v>41</v>
      </c>
      <c r="C30">
        <v>1320</v>
      </c>
      <c r="D30">
        <v>287.55599999999998</v>
      </c>
      <c r="E30">
        <v>379574.44099999999</v>
      </c>
      <c r="F30">
        <v>284.03500000000003</v>
      </c>
      <c r="G30">
        <v>379574.44099999999</v>
      </c>
      <c r="H30">
        <v>1</v>
      </c>
      <c r="I30">
        <v>130.99700000000001</v>
      </c>
      <c r="J30" t="s">
        <v>70</v>
      </c>
      <c r="K30" t="s">
        <v>55</v>
      </c>
      <c r="L30">
        <f t="shared" si="8"/>
        <v>26.464040404040407</v>
      </c>
      <c r="M30">
        <f t="shared" si="9"/>
        <v>10567.690117633028</v>
      </c>
      <c r="N30" s="1">
        <f t="shared" si="10"/>
        <v>399.32262633711827</v>
      </c>
    </row>
    <row r="31" spans="1:14" x14ac:dyDescent="0.2">
      <c r="A31">
        <v>8</v>
      </c>
      <c r="B31" t="s">
        <v>42</v>
      </c>
      <c r="C31">
        <v>1570</v>
      </c>
      <c r="D31">
        <v>293.14999999999998</v>
      </c>
      <c r="E31">
        <v>460245.63799999998</v>
      </c>
      <c r="F31">
        <v>283.84500000000003</v>
      </c>
      <c r="G31">
        <v>460245.63799999998</v>
      </c>
      <c r="H31">
        <v>1</v>
      </c>
      <c r="I31">
        <v>155.994</v>
      </c>
      <c r="J31" t="s">
        <v>71</v>
      </c>
      <c r="K31" t="s">
        <v>55</v>
      </c>
      <c r="L31">
        <f t="shared" si="8"/>
        <v>31.513939393939392</v>
      </c>
      <c r="M31">
        <f t="shared" si="9"/>
        <v>21351.244905063417</v>
      </c>
      <c r="N31" s="1">
        <f t="shared" si="10"/>
        <v>677.51748323694449</v>
      </c>
    </row>
    <row r="32" spans="1:14" x14ac:dyDescent="0.2">
      <c r="A32">
        <v>9</v>
      </c>
      <c r="B32" t="s">
        <v>43</v>
      </c>
      <c r="C32">
        <v>1820</v>
      </c>
      <c r="D32">
        <v>279.64699999999999</v>
      </c>
      <c r="E32">
        <v>508958.087</v>
      </c>
      <c r="F32">
        <v>279.67700000000002</v>
      </c>
      <c r="G32">
        <v>508958.087</v>
      </c>
      <c r="H32">
        <v>1</v>
      </c>
      <c r="I32">
        <v>181</v>
      </c>
      <c r="J32" t="s">
        <v>54</v>
      </c>
      <c r="K32" t="s">
        <v>55</v>
      </c>
    </row>
    <row r="33" spans="1:14" x14ac:dyDescent="0.2">
      <c r="A33">
        <v>10</v>
      </c>
      <c r="B33" t="s">
        <v>44</v>
      </c>
      <c r="C33">
        <v>1770</v>
      </c>
      <c r="D33">
        <v>279.202</v>
      </c>
      <c r="E33">
        <v>494187.603</v>
      </c>
      <c r="F33">
        <v>279.17500000000001</v>
      </c>
      <c r="G33">
        <v>494187.603</v>
      </c>
      <c r="H33">
        <v>1</v>
      </c>
      <c r="I33">
        <v>176</v>
      </c>
      <c r="J33" t="s">
        <v>54</v>
      </c>
      <c r="K33" t="s">
        <v>55</v>
      </c>
    </row>
    <row r="34" spans="1:14" x14ac:dyDescent="0.2">
      <c r="A34">
        <v>11</v>
      </c>
      <c r="B34" t="s">
        <v>45</v>
      </c>
      <c r="C34">
        <v>1960</v>
      </c>
      <c r="D34">
        <v>279.80200000000002</v>
      </c>
      <c r="E34">
        <v>548412.64599999995</v>
      </c>
      <c r="F34">
        <v>279.82400000000001</v>
      </c>
      <c r="G34">
        <v>548412.64599999995</v>
      </c>
      <c r="H34">
        <v>1</v>
      </c>
      <c r="I34">
        <v>194.999</v>
      </c>
      <c r="J34" t="s">
        <v>54</v>
      </c>
      <c r="K34" t="s">
        <v>55</v>
      </c>
    </row>
    <row r="35" spans="1:14" x14ac:dyDescent="0.2">
      <c r="A35">
        <v>1</v>
      </c>
      <c r="B35" t="s">
        <v>72</v>
      </c>
      <c r="C35">
        <v>1840</v>
      </c>
      <c r="D35">
        <v>302.84399999999999</v>
      </c>
      <c r="E35">
        <v>557233.18200000003</v>
      </c>
      <c r="F35">
        <v>286.50700000000001</v>
      </c>
      <c r="G35">
        <v>557233.18200000003</v>
      </c>
      <c r="H35">
        <v>1</v>
      </c>
      <c r="I35">
        <v>182.99199999999999</v>
      </c>
      <c r="J35" t="s">
        <v>83</v>
      </c>
      <c r="K35" t="s">
        <v>55</v>
      </c>
      <c r="L35">
        <f t="shared" ref="L35" si="11">I35/4.95</f>
        <v>36.968080808080806</v>
      </c>
      <c r="M35">
        <f>G35-(((G$43/C$43*C35)+(G$44/C$44*C35)+(G$45/C$45*C35))/3)</f>
        <v>40640.313668384391</v>
      </c>
      <c r="N35" s="1">
        <f t="shared" ref="N35" si="12">M35/L35</f>
        <v>1099.335231368053</v>
      </c>
    </row>
    <row r="36" spans="1:14" x14ac:dyDescent="0.2">
      <c r="A36">
        <v>2</v>
      </c>
      <c r="B36" t="s">
        <v>73</v>
      </c>
      <c r="C36">
        <v>1540</v>
      </c>
      <c r="D36">
        <v>289.06099999999998</v>
      </c>
      <c r="E36">
        <v>445154.38500000001</v>
      </c>
      <c r="F36">
        <v>284.68099999999998</v>
      </c>
      <c r="G36">
        <v>445154.38500000001</v>
      </c>
      <c r="H36">
        <v>1</v>
      </c>
      <c r="I36">
        <v>152.99700000000001</v>
      </c>
      <c r="J36" t="s">
        <v>84</v>
      </c>
      <c r="K36" t="s">
        <v>55</v>
      </c>
      <c r="L36">
        <f t="shared" ref="L36:L42" si="13">I36/4.95</f>
        <v>30.90848484848485</v>
      </c>
      <c r="M36">
        <f t="shared" ref="M36:M42" si="14">G36-(((G$43/C$43*C36)+(G$44/C$44*C36)+(G$45/C$45*C36))/3)</f>
        <v>12788.614765930281</v>
      </c>
      <c r="N36" s="1">
        <f t="shared" ref="N36:N42" si="15">M36/L36</f>
        <v>413.7574141411589</v>
      </c>
    </row>
    <row r="37" spans="1:14" x14ac:dyDescent="0.2">
      <c r="A37">
        <v>3</v>
      </c>
      <c r="B37" t="s">
        <v>74</v>
      </c>
      <c r="C37">
        <v>1770</v>
      </c>
      <c r="D37">
        <v>291.19799999999998</v>
      </c>
      <c r="E37">
        <v>515420.13400000002</v>
      </c>
      <c r="F37">
        <v>285.63099999999997</v>
      </c>
      <c r="G37">
        <v>515420.13400000002</v>
      </c>
      <c r="H37">
        <v>1</v>
      </c>
      <c r="I37">
        <v>175.99700000000001</v>
      </c>
      <c r="J37" t="s">
        <v>85</v>
      </c>
      <c r="K37" t="s">
        <v>55</v>
      </c>
      <c r="L37">
        <f t="shared" si="13"/>
        <v>35.554949494949497</v>
      </c>
      <c r="M37">
        <f t="shared" si="14"/>
        <v>18480.255224478373</v>
      </c>
      <c r="N37" s="1">
        <f t="shared" si="15"/>
        <v>519.7660378368264</v>
      </c>
    </row>
    <row r="38" spans="1:14" x14ac:dyDescent="0.2">
      <c r="A38">
        <v>4</v>
      </c>
      <c r="B38" t="s">
        <v>75</v>
      </c>
      <c r="C38">
        <v>1890</v>
      </c>
      <c r="D38">
        <v>308.37200000000001</v>
      </c>
      <c r="E38">
        <v>582823.28099999996</v>
      </c>
      <c r="F38">
        <v>292.988</v>
      </c>
      <c r="G38">
        <v>582823.28099999996</v>
      </c>
      <c r="H38">
        <v>1</v>
      </c>
      <c r="I38">
        <v>187.99199999999999</v>
      </c>
      <c r="J38" t="s">
        <v>86</v>
      </c>
      <c r="K38" t="s">
        <v>55</v>
      </c>
      <c r="L38">
        <f t="shared" si="13"/>
        <v>37.978181818181817</v>
      </c>
      <c r="M38">
        <f t="shared" si="14"/>
        <v>52192.562985459925</v>
      </c>
      <c r="N38" s="1">
        <f t="shared" si="15"/>
        <v>1374.2775585026311</v>
      </c>
    </row>
    <row r="39" spans="1:14" x14ac:dyDescent="0.2">
      <c r="A39">
        <v>5</v>
      </c>
      <c r="B39" t="s">
        <v>76</v>
      </c>
      <c r="C39">
        <v>1860</v>
      </c>
      <c r="D39">
        <v>309.03100000000001</v>
      </c>
      <c r="E39">
        <v>574798.39800000004</v>
      </c>
      <c r="F39">
        <v>292.91000000000003</v>
      </c>
      <c r="G39">
        <v>574798.39800000004</v>
      </c>
      <c r="H39">
        <v>1</v>
      </c>
      <c r="I39">
        <v>184.99100000000001</v>
      </c>
      <c r="J39" t="s">
        <v>87</v>
      </c>
      <c r="K39" t="s">
        <v>55</v>
      </c>
      <c r="L39">
        <f t="shared" si="13"/>
        <v>37.37191919191919</v>
      </c>
      <c r="M39">
        <f t="shared" si="14"/>
        <v>52590.389795214636</v>
      </c>
      <c r="N39" s="1">
        <f t="shared" si="15"/>
        <v>1407.21672668569</v>
      </c>
    </row>
    <row r="40" spans="1:14" x14ac:dyDescent="0.2">
      <c r="A40">
        <v>6</v>
      </c>
      <c r="B40" t="s">
        <v>77</v>
      </c>
      <c r="C40">
        <v>1630</v>
      </c>
      <c r="D40">
        <v>301.83100000000002</v>
      </c>
      <c r="E40">
        <v>491985.24699999997</v>
      </c>
      <c r="F40">
        <v>290.363</v>
      </c>
      <c r="G40">
        <v>491985.24699999997</v>
      </c>
      <c r="H40">
        <v>1</v>
      </c>
      <c r="I40">
        <v>161.99199999999999</v>
      </c>
      <c r="J40" t="s">
        <v>88</v>
      </c>
      <c r="K40" t="s">
        <v>55</v>
      </c>
      <c r="L40">
        <f t="shared" si="13"/>
        <v>32.725656565656564</v>
      </c>
      <c r="M40">
        <f t="shared" si="14"/>
        <v>34351.347336666484</v>
      </c>
      <c r="N40" s="1">
        <f t="shared" si="15"/>
        <v>1049.6763378222327</v>
      </c>
    </row>
    <row r="41" spans="1:14" x14ac:dyDescent="0.2">
      <c r="A41">
        <v>7</v>
      </c>
      <c r="B41" t="s">
        <v>78</v>
      </c>
      <c r="C41">
        <v>1710</v>
      </c>
      <c r="D41">
        <v>301.43799999999999</v>
      </c>
      <c r="E41">
        <v>515459.44900000002</v>
      </c>
      <c r="F41">
        <v>288.37599999999998</v>
      </c>
      <c r="G41">
        <v>515459.44900000002</v>
      </c>
      <c r="H41">
        <v>1</v>
      </c>
      <c r="I41">
        <v>169.994</v>
      </c>
      <c r="J41" t="s">
        <v>89</v>
      </c>
      <c r="K41" t="s">
        <v>55</v>
      </c>
      <c r="L41">
        <f t="shared" si="13"/>
        <v>34.342222222222219</v>
      </c>
      <c r="M41">
        <f t="shared" si="14"/>
        <v>35364.989843987627</v>
      </c>
      <c r="N41" s="1">
        <f t="shared" si="15"/>
        <v>1029.7816377503839</v>
      </c>
    </row>
    <row r="42" spans="1:14" x14ac:dyDescent="0.2">
      <c r="A42">
        <v>8</v>
      </c>
      <c r="B42" t="s">
        <v>79</v>
      </c>
      <c r="C42">
        <v>1500</v>
      </c>
      <c r="D42">
        <v>293.05599999999998</v>
      </c>
      <c r="E42">
        <v>439584.62300000002</v>
      </c>
      <c r="F42">
        <v>283.92599999999999</v>
      </c>
      <c r="G42">
        <v>439584.62300000002</v>
      </c>
      <c r="H42">
        <v>1</v>
      </c>
      <c r="I42">
        <v>148.99700000000001</v>
      </c>
      <c r="J42" t="s">
        <v>90</v>
      </c>
      <c r="K42" t="s">
        <v>55</v>
      </c>
      <c r="L42">
        <f t="shared" si="13"/>
        <v>30.100404040404044</v>
      </c>
      <c r="M42">
        <f t="shared" si="14"/>
        <v>18449.132512269833</v>
      </c>
      <c r="N42" s="1">
        <f t="shared" si="15"/>
        <v>612.91976305385788</v>
      </c>
    </row>
    <row r="43" spans="1:14" x14ac:dyDescent="0.2">
      <c r="A43">
        <v>9</v>
      </c>
      <c r="B43" t="s">
        <v>80</v>
      </c>
      <c r="C43">
        <v>1730</v>
      </c>
      <c r="D43">
        <v>280.99200000000002</v>
      </c>
      <c r="E43">
        <v>486116.30099999998</v>
      </c>
      <c r="F43">
        <v>280.98700000000002</v>
      </c>
      <c r="G43">
        <v>486116.30099999998</v>
      </c>
      <c r="H43">
        <v>1</v>
      </c>
      <c r="I43">
        <v>172</v>
      </c>
      <c r="J43" t="s">
        <v>54</v>
      </c>
      <c r="K43" t="s">
        <v>55</v>
      </c>
    </row>
    <row r="44" spans="1:14" x14ac:dyDescent="0.2">
      <c r="A44">
        <v>10</v>
      </c>
      <c r="B44" t="s">
        <v>81</v>
      </c>
      <c r="C44">
        <v>1610</v>
      </c>
      <c r="D44">
        <v>280.49200000000002</v>
      </c>
      <c r="E44">
        <v>451591.87900000002</v>
      </c>
      <c r="F44">
        <v>280.46300000000002</v>
      </c>
      <c r="G44">
        <v>451591.87900000002</v>
      </c>
      <c r="H44">
        <v>1</v>
      </c>
      <c r="I44">
        <v>160</v>
      </c>
      <c r="J44" t="s">
        <v>54</v>
      </c>
      <c r="K44" t="s">
        <v>55</v>
      </c>
    </row>
    <row r="45" spans="1:14" x14ac:dyDescent="0.2">
      <c r="A45">
        <v>11</v>
      </c>
      <c r="B45" t="s">
        <v>82</v>
      </c>
      <c r="C45">
        <v>1790</v>
      </c>
      <c r="D45">
        <v>280.78699999999998</v>
      </c>
      <c r="E45">
        <v>502608.81800000003</v>
      </c>
      <c r="F45">
        <v>280.82600000000002</v>
      </c>
      <c r="G45">
        <v>502608.81800000003</v>
      </c>
      <c r="H45">
        <v>1</v>
      </c>
      <c r="I45">
        <v>178</v>
      </c>
      <c r="J45" t="s">
        <v>54</v>
      </c>
      <c r="K45" t="s">
        <v>55</v>
      </c>
    </row>
    <row r="46" spans="1:14" x14ac:dyDescent="0.2">
      <c r="A46">
        <v>1</v>
      </c>
      <c r="B46" t="s">
        <v>91</v>
      </c>
      <c r="C46">
        <v>1370</v>
      </c>
      <c r="D46">
        <v>284.53699999999998</v>
      </c>
      <c r="E46">
        <v>389815.61300000001</v>
      </c>
      <c r="F46">
        <v>281.86200000000002</v>
      </c>
      <c r="G46">
        <v>389815.61300000001</v>
      </c>
      <c r="H46">
        <v>1</v>
      </c>
      <c r="I46">
        <v>135.97499999999999</v>
      </c>
      <c r="J46" t="s">
        <v>46</v>
      </c>
      <c r="K46" t="s">
        <v>102</v>
      </c>
      <c r="L46">
        <f t="shared" ref="L46" si="16">I46/4.95</f>
        <v>27.469696969696969</v>
      </c>
      <c r="M46">
        <f>G46-(((G$54/C$54*C46)+(G$55/C$55*C46)+(G$56/C$56*C46))/3)</f>
        <v>5042.9688392899116</v>
      </c>
      <c r="N46" s="1">
        <f t="shared" ref="N46" si="17">M46/L46</f>
        <v>183.5829803602505</v>
      </c>
    </row>
    <row r="47" spans="1:14" x14ac:dyDescent="0.2">
      <c r="A47">
        <v>2</v>
      </c>
      <c r="B47" t="s">
        <v>92</v>
      </c>
      <c r="C47">
        <v>1850</v>
      </c>
      <c r="D47">
        <v>292.988</v>
      </c>
      <c r="E47">
        <v>542028.21699999995</v>
      </c>
      <c r="F47">
        <v>283.49900000000002</v>
      </c>
      <c r="G47">
        <v>542028.21699999995</v>
      </c>
      <c r="H47">
        <v>1</v>
      </c>
      <c r="I47">
        <v>183.995</v>
      </c>
      <c r="J47" t="s">
        <v>47</v>
      </c>
      <c r="K47" t="s">
        <v>102</v>
      </c>
      <c r="L47">
        <f t="shared" ref="L47:L53" si="18">I47/4.95</f>
        <v>37.170707070707067</v>
      </c>
      <c r="M47">
        <f t="shared" ref="M47:M53" si="19">G47-(((G$54/C$54*C47)+(G$55/C$55*C47)+(G$56/C$56*C47))/3)</f>
        <v>22444.719410719816</v>
      </c>
      <c r="N47" s="1">
        <f t="shared" ref="N47:N53" si="20">M47/L47</f>
        <v>603.82815339038075</v>
      </c>
    </row>
    <row r="48" spans="1:14" x14ac:dyDescent="0.2">
      <c r="A48">
        <v>3</v>
      </c>
      <c r="B48" t="s">
        <v>93</v>
      </c>
      <c r="C48">
        <v>1270</v>
      </c>
      <c r="D48">
        <v>286.25400000000002</v>
      </c>
      <c r="E48">
        <v>363542.67599999998</v>
      </c>
      <c r="F48">
        <v>283.18200000000002</v>
      </c>
      <c r="G48">
        <v>363542.67599999998</v>
      </c>
      <c r="H48">
        <v>1</v>
      </c>
      <c r="I48">
        <v>125.991</v>
      </c>
      <c r="J48" t="s">
        <v>48</v>
      </c>
      <c r="K48" t="s">
        <v>102</v>
      </c>
      <c r="L48">
        <f t="shared" si="18"/>
        <v>25.452727272727273</v>
      </c>
      <c r="M48">
        <f t="shared" si="19"/>
        <v>6855.6263035752345</v>
      </c>
      <c r="N48" s="1">
        <f t="shared" si="20"/>
        <v>269.347415312978</v>
      </c>
    </row>
    <row r="49" spans="1:14" x14ac:dyDescent="0.2">
      <c r="A49">
        <v>4</v>
      </c>
      <c r="B49" t="s">
        <v>94</v>
      </c>
      <c r="C49">
        <v>1790</v>
      </c>
      <c r="D49">
        <v>294.37900000000002</v>
      </c>
      <c r="E49">
        <v>526937.61600000004</v>
      </c>
      <c r="F49">
        <v>285.125</v>
      </c>
      <c r="G49">
        <v>526937.61600000004</v>
      </c>
      <c r="H49">
        <v>1</v>
      </c>
      <c r="I49">
        <v>177.995</v>
      </c>
      <c r="J49" t="s">
        <v>49</v>
      </c>
      <c r="K49" t="s">
        <v>102</v>
      </c>
      <c r="L49">
        <f t="shared" si="18"/>
        <v>35.958585858585856</v>
      </c>
      <c r="M49">
        <f t="shared" si="19"/>
        <v>24205.475089291227</v>
      </c>
      <c r="N49" s="1">
        <f t="shared" si="20"/>
        <v>673.14869345763407</v>
      </c>
    </row>
    <row r="50" spans="1:14" x14ac:dyDescent="0.2">
      <c r="A50">
        <v>5</v>
      </c>
      <c r="B50" t="s">
        <v>95</v>
      </c>
      <c r="C50">
        <v>1980</v>
      </c>
      <c r="D50">
        <v>296.12799999999999</v>
      </c>
      <c r="E50">
        <v>586333.39500000002</v>
      </c>
      <c r="F50">
        <v>285.43599999999998</v>
      </c>
      <c r="G50">
        <v>586333.39500000002</v>
      </c>
      <c r="H50">
        <v>1</v>
      </c>
      <c r="I50">
        <v>196.97499999999999</v>
      </c>
      <c r="J50" t="s">
        <v>50</v>
      </c>
      <c r="K50" t="s">
        <v>102</v>
      </c>
      <c r="L50">
        <f t="shared" si="18"/>
        <v>39.792929292929287</v>
      </c>
      <c r="M50">
        <f t="shared" si="19"/>
        <v>30238.624607148929</v>
      </c>
      <c r="N50" s="1">
        <f t="shared" si="20"/>
        <v>759.89943802709593</v>
      </c>
    </row>
    <row r="51" spans="1:14" x14ac:dyDescent="0.2">
      <c r="A51">
        <v>6</v>
      </c>
      <c r="B51" t="s">
        <v>96</v>
      </c>
      <c r="C51">
        <v>1780</v>
      </c>
      <c r="D51">
        <v>290.70600000000002</v>
      </c>
      <c r="E51">
        <v>517457.53899999999</v>
      </c>
      <c r="F51">
        <v>283.93200000000002</v>
      </c>
      <c r="G51">
        <v>517457.53899999999</v>
      </c>
      <c r="H51">
        <v>1</v>
      </c>
      <c r="I51">
        <v>176.994</v>
      </c>
      <c r="J51" t="s">
        <v>51</v>
      </c>
      <c r="K51" t="s">
        <v>102</v>
      </c>
      <c r="L51">
        <f t="shared" si="18"/>
        <v>35.756363636363638</v>
      </c>
      <c r="M51">
        <f t="shared" si="19"/>
        <v>17533.957535719674</v>
      </c>
      <c r="N51" s="1">
        <f t="shared" si="20"/>
        <v>490.37306237393574</v>
      </c>
    </row>
    <row r="52" spans="1:14" x14ac:dyDescent="0.2">
      <c r="A52">
        <v>7</v>
      </c>
      <c r="B52" t="s">
        <v>97</v>
      </c>
      <c r="C52">
        <v>1720</v>
      </c>
      <c r="D52">
        <v>291.39</v>
      </c>
      <c r="E52">
        <v>501190.62900000002</v>
      </c>
      <c r="F52">
        <v>283.77499999999998</v>
      </c>
      <c r="G52">
        <v>501190.62900000002</v>
      </c>
      <c r="H52">
        <v>1</v>
      </c>
      <c r="I52">
        <v>170.977</v>
      </c>
      <c r="J52" t="s">
        <v>52</v>
      </c>
      <c r="K52" t="s">
        <v>102</v>
      </c>
      <c r="L52">
        <f t="shared" si="18"/>
        <v>34.540808080808077</v>
      </c>
      <c r="M52">
        <f t="shared" si="19"/>
        <v>18118.404214290902</v>
      </c>
      <c r="N52" s="1">
        <f t="shared" si="20"/>
        <v>524.55067559227246</v>
      </c>
    </row>
    <row r="53" spans="1:14" x14ac:dyDescent="0.2">
      <c r="A53">
        <v>8</v>
      </c>
      <c r="B53" t="s">
        <v>98</v>
      </c>
      <c r="C53">
        <v>1610</v>
      </c>
      <c r="D53">
        <v>288.726</v>
      </c>
      <c r="E53">
        <v>464848.25199999998</v>
      </c>
      <c r="F53">
        <v>283.15600000000001</v>
      </c>
      <c r="G53">
        <v>464848.25199999998</v>
      </c>
      <c r="H53">
        <v>1</v>
      </c>
      <c r="I53">
        <v>159.96899999999999</v>
      </c>
      <c r="J53" t="s">
        <v>53</v>
      </c>
      <c r="K53" t="s">
        <v>102</v>
      </c>
      <c r="L53">
        <f t="shared" si="18"/>
        <v>32.316969696969693</v>
      </c>
      <c r="M53">
        <f t="shared" si="19"/>
        <v>12670.181125004834</v>
      </c>
      <c r="N53" s="1">
        <f t="shared" si="20"/>
        <v>392.05969011979784</v>
      </c>
    </row>
    <row r="54" spans="1:14" x14ac:dyDescent="0.2">
      <c r="A54">
        <v>9</v>
      </c>
      <c r="B54" t="s">
        <v>99</v>
      </c>
      <c r="C54">
        <v>1690</v>
      </c>
      <c r="D54">
        <v>281.03899999999999</v>
      </c>
      <c r="E54">
        <v>474955.27299999999</v>
      </c>
      <c r="F54">
        <v>281.01499999999999</v>
      </c>
      <c r="G54">
        <v>474955.27299999999</v>
      </c>
      <c r="H54">
        <v>1</v>
      </c>
      <c r="I54">
        <v>167.999</v>
      </c>
      <c r="J54" t="s">
        <v>54</v>
      </c>
      <c r="K54" t="s">
        <v>102</v>
      </c>
    </row>
    <row r="55" spans="1:14" x14ac:dyDescent="0.2">
      <c r="A55">
        <v>10</v>
      </c>
      <c r="B55" t="s">
        <v>100</v>
      </c>
      <c r="C55">
        <v>1860</v>
      </c>
      <c r="D55">
        <v>280.54899999999998</v>
      </c>
      <c r="E55">
        <v>521821.46600000001</v>
      </c>
      <c r="F55">
        <v>280.55</v>
      </c>
      <c r="G55">
        <v>521821.46600000001</v>
      </c>
      <c r="H55">
        <v>1</v>
      </c>
      <c r="I55">
        <v>185</v>
      </c>
      <c r="J55" t="s">
        <v>54</v>
      </c>
      <c r="K55" t="s">
        <v>102</v>
      </c>
    </row>
    <row r="56" spans="1:14" x14ac:dyDescent="0.2">
      <c r="A56">
        <v>11</v>
      </c>
      <c r="B56" t="s">
        <v>101</v>
      </c>
      <c r="C56">
        <v>1630</v>
      </c>
      <c r="D56">
        <v>280.98</v>
      </c>
      <c r="E56">
        <v>457997.45799999998</v>
      </c>
      <c r="F56">
        <v>281.03699999999998</v>
      </c>
      <c r="G56">
        <v>457997.45799999998</v>
      </c>
      <c r="H56">
        <v>1</v>
      </c>
      <c r="I56">
        <v>162</v>
      </c>
      <c r="J56" t="s">
        <v>54</v>
      </c>
      <c r="K56" t="s">
        <v>102</v>
      </c>
    </row>
    <row r="57" spans="1:14" x14ac:dyDescent="0.2">
      <c r="A57">
        <v>1</v>
      </c>
      <c r="B57" t="s">
        <v>103</v>
      </c>
      <c r="C57">
        <v>2070</v>
      </c>
      <c r="D57">
        <v>289.76</v>
      </c>
      <c r="E57">
        <v>599803.44999999995</v>
      </c>
      <c r="F57">
        <v>281.75299999999999</v>
      </c>
      <c r="G57">
        <v>599803.44999999995</v>
      </c>
      <c r="H57">
        <v>1</v>
      </c>
      <c r="I57">
        <v>205.98500000000001</v>
      </c>
      <c r="J57" t="s">
        <v>56</v>
      </c>
      <c r="K57" t="s">
        <v>102</v>
      </c>
      <c r="L57">
        <f t="shared" ref="L57" si="21">I57/4.95</f>
        <v>41.613131313131312</v>
      </c>
      <c r="M57">
        <f>G57-(((G$65/C$65*C57)+(G$66/C$66*C57)+(G$67/C$67*C57))/3)</f>
        <v>18879.196323181852</v>
      </c>
      <c r="N57" s="1">
        <f t="shared" ref="N57" si="22">M57/L57</f>
        <v>453.68362647644329</v>
      </c>
    </row>
    <row r="58" spans="1:14" x14ac:dyDescent="0.2">
      <c r="A58">
        <v>2</v>
      </c>
      <c r="B58" t="s">
        <v>104</v>
      </c>
      <c r="C58">
        <v>1580</v>
      </c>
      <c r="D58">
        <v>289.65800000000002</v>
      </c>
      <c r="E58">
        <v>457659.19099999999</v>
      </c>
      <c r="F58">
        <v>282.95699999999999</v>
      </c>
      <c r="G58">
        <v>457659.19099999999</v>
      </c>
      <c r="H58">
        <v>1</v>
      </c>
      <c r="I58">
        <v>156.989</v>
      </c>
      <c r="J58" t="s">
        <v>57</v>
      </c>
      <c r="K58" t="s">
        <v>102</v>
      </c>
      <c r="L58">
        <f t="shared" ref="L58:L64" si="23">I58/4.95</f>
        <v>31.714949494949494</v>
      </c>
      <c r="M58">
        <f t="shared" ref="M58:M64" si="24">G58-(((G$65/C$65*C58)+(G$66/C$66*C58)+(G$67/C$67*C58))/3)</f>
        <v>14248.408000303025</v>
      </c>
      <c r="N58" s="1">
        <f t="shared" ref="N58:N64" si="25">M58/L58</f>
        <v>449.26472301562512</v>
      </c>
    </row>
    <row r="59" spans="1:14" x14ac:dyDescent="0.2">
      <c r="A59">
        <v>3</v>
      </c>
      <c r="B59" t="s">
        <v>105</v>
      </c>
      <c r="C59">
        <v>1810</v>
      </c>
      <c r="D59">
        <v>292.79700000000003</v>
      </c>
      <c r="E59">
        <v>529962.21600000001</v>
      </c>
      <c r="F59">
        <v>283.54399999999998</v>
      </c>
      <c r="G59">
        <v>529962.21600000001</v>
      </c>
      <c r="H59">
        <v>1</v>
      </c>
      <c r="I59">
        <v>179.98099999999999</v>
      </c>
      <c r="J59" t="s">
        <v>58</v>
      </c>
      <c r="K59" t="s">
        <v>102</v>
      </c>
      <c r="L59">
        <f t="shared" si="23"/>
        <v>36.359797979797975</v>
      </c>
      <c r="M59">
        <f t="shared" si="24"/>
        <v>22004.293702878815</v>
      </c>
      <c r="N59" s="1">
        <f t="shared" si="25"/>
        <v>605.18195714686635</v>
      </c>
    </row>
    <row r="60" spans="1:14" x14ac:dyDescent="0.2">
      <c r="A60">
        <v>4</v>
      </c>
      <c r="B60" t="s">
        <v>106</v>
      </c>
      <c r="C60">
        <v>1780</v>
      </c>
      <c r="D60">
        <v>293.15199999999999</v>
      </c>
      <c r="E60">
        <v>521811.40600000002</v>
      </c>
      <c r="F60">
        <v>284.05399999999997</v>
      </c>
      <c r="G60">
        <v>521811.40600000002</v>
      </c>
      <c r="H60">
        <v>1</v>
      </c>
      <c r="I60">
        <v>176.99600000000001</v>
      </c>
      <c r="J60" t="s">
        <v>59</v>
      </c>
      <c r="K60" t="s">
        <v>102</v>
      </c>
      <c r="L60">
        <f t="shared" si="23"/>
        <v>35.75676767676768</v>
      </c>
      <c r="M60">
        <f t="shared" si="24"/>
        <v>22272.675785151543</v>
      </c>
      <c r="N60" s="1">
        <f t="shared" si="25"/>
        <v>622.893992725825</v>
      </c>
    </row>
    <row r="61" spans="1:14" x14ac:dyDescent="0.2">
      <c r="A61">
        <v>5</v>
      </c>
      <c r="B61" t="s">
        <v>107</v>
      </c>
      <c r="C61">
        <v>1830</v>
      </c>
      <c r="D61">
        <v>294.52699999999999</v>
      </c>
      <c r="E61">
        <v>538983.598</v>
      </c>
      <c r="F61">
        <v>283.57299999999998</v>
      </c>
      <c r="G61">
        <v>538983.598</v>
      </c>
      <c r="H61">
        <v>1</v>
      </c>
      <c r="I61">
        <v>181.99100000000001</v>
      </c>
      <c r="J61" t="s">
        <v>60</v>
      </c>
      <c r="K61" t="s">
        <v>102</v>
      </c>
      <c r="L61">
        <f t="shared" si="23"/>
        <v>36.765858585858588</v>
      </c>
      <c r="M61">
        <f t="shared" si="24"/>
        <v>25412.880981363589</v>
      </c>
      <c r="N61" s="1">
        <f t="shared" si="25"/>
        <v>691.20869085696415</v>
      </c>
    </row>
    <row r="62" spans="1:14" x14ac:dyDescent="0.2">
      <c r="A62">
        <v>6</v>
      </c>
      <c r="B62" t="s">
        <v>108</v>
      </c>
      <c r="C62">
        <v>1820</v>
      </c>
      <c r="D62">
        <v>290.59300000000002</v>
      </c>
      <c r="E62">
        <v>528879.37300000002</v>
      </c>
      <c r="F62">
        <v>283.57499999999999</v>
      </c>
      <c r="G62">
        <v>528879.37300000002</v>
      </c>
      <c r="H62">
        <v>1</v>
      </c>
      <c r="I62">
        <v>180.989</v>
      </c>
      <c r="J62" t="s">
        <v>61</v>
      </c>
      <c r="K62" t="s">
        <v>102</v>
      </c>
      <c r="L62">
        <f t="shared" si="23"/>
        <v>36.563434343434345</v>
      </c>
      <c r="M62">
        <f t="shared" si="24"/>
        <v>18115.053342121246</v>
      </c>
      <c r="N62" s="1">
        <f t="shared" si="25"/>
        <v>495.4417895203585</v>
      </c>
    </row>
    <row r="63" spans="1:14" x14ac:dyDescent="0.2">
      <c r="A63">
        <v>7</v>
      </c>
      <c r="B63" t="s">
        <v>109</v>
      </c>
      <c r="C63">
        <v>1730</v>
      </c>
      <c r="D63">
        <v>291.03100000000001</v>
      </c>
      <c r="E63">
        <v>503483.71600000001</v>
      </c>
      <c r="F63">
        <v>283.66300000000001</v>
      </c>
      <c r="G63">
        <v>503483.71600000001</v>
      </c>
      <c r="H63">
        <v>1</v>
      </c>
      <c r="I63">
        <v>171.97499999999999</v>
      </c>
      <c r="J63" t="s">
        <v>62</v>
      </c>
      <c r="K63" t="s">
        <v>102</v>
      </c>
      <c r="L63">
        <f t="shared" si="23"/>
        <v>34.742424242424242</v>
      </c>
      <c r="M63">
        <f t="shared" si="24"/>
        <v>17976.972588939418</v>
      </c>
      <c r="N63" s="1">
        <f t="shared" si="25"/>
        <v>517.4357570300923</v>
      </c>
    </row>
    <row r="64" spans="1:14" x14ac:dyDescent="0.2">
      <c r="A64">
        <v>8</v>
      </c>
      <c r="B64" t="s">
        <v>110</v>
      </c>
      <c r="C64">
        <v>1780</v>
      </c>
      <c r="D64">
        <v>291.70800000000003</v>
      </c>
      <c r="E64">
        <v>519240.39500000002</v>
      </c>
      <c r="F64">
        <v>283.017</v>
      </c>
      <c r="G64">
        <v>519240.39500000002</v>
      </c>
      <c r="H64">
        <v>1</v>
      </c>
      <c r="I64">
        <v>176.99</v>
      </c>
      <c r="J64" t="s">
        <v>63</v>
      </c>
      <c r="K64" t="s">
        <v>102</v>
      </c>
      <c r="L64">
        <f t="shared" si="23"/>
        <v>35.755555555555553</v>
      </c>
      <c r="M64">
        <f t="shared" si="24"/>
        <v>19701.664785151544</v>
      </c>
      <c r="N64" s="1">
        <f t="shared" si="25"/>
        <v>551.00989144302025</v>
      </c>
    </row>
    <row r="65" spans="1:14" x14ac:dyDescent="0.2">
      <c r="A65">
        <v>9</v>
      </c>
      <c r="B65" t="s">
        <v>111</v>
      </c>
      <c r="C65">
        <v>1760</v>
      </c>
      <c r="D65">
        <v>280.74400000000003</v>
      </c>
      <c r="E65">
        <v>494108.76199999999</v>
      </c>
      <c r="F65">
        <v>280.73399999999998</v>
      </c>
      <c r="G65">
        <v>494108.76199999999</v>
      </c>
      <c r="H65">
        <v>1</v>
      </c>
      <c r="I65">
        <v>175</v>
      </c>
      <c r="J65" t="s">
        <v>54</v>
      </c>
      <c r="K65" t="s">
        <v>102</v>
      </c>
    </row>
    <row r="66" spans="1:14" x14ac:dyDescent="0.2">
      <c r="A66">
        <v>10</v>
      </c>
      <c r="B66" t="s">
        <v>112</v>
      </c>
      <c r="C66">
        <v>1750</v>
      </c>
      <c r="D66">
        <v>280.44</v>
      </c>
      <c r="E66">
        <v>490770.78399999999</v>
      </c>
      <c r="F66">
        <v>280.42200000000003</v>
      </c>
      <c r="G66">
        <v>490770.78399999999</v>
      </c>
      <c r="H66">
        <v>1</v>
      </c>
      <c r="I66">
        <v>174</v>
      </c>
      <c r="J66" t="s">
        <v>54</v>
      </c>
      <c r="K66" t="s">
        <v>102</v>
      </c>
    </row>
    <row r="67" spans="1:14" x14ac:dyDescent="0.2">
      <c r="A67">
        <v>11</v>
      </c>
      <c r="B67" t="s">
        <v>113</v>
      </c>
      <c r="C67">
        <v>1650</v>
      </c>
      <c r="D67">
        <v>280.73500000000001</v>
      </c>
      <c r="E67">
        <v>463212.99</v>
      </c>
      <c r="F67">
        <v>280.70800000000003</v>
      </c>
      <c r="G67">
        <v>463212.99</v>
      </c>
      <c r="H67">
        <v>1</v>
      </c>
      <c r="I67">
        <v>163.999</v>
      </c>
      <c r="J67" t="s">
        <v>54</v>
      </c>
      <c r="K67" t="s">
        <v>102</v>
      </c>
    </row>
    <row r="68" spans="1:14" x14ac:dyDescent="0.2">
      <c r="A68">
        <v>1</v>
      </c>
      <c r="B68" t="s">
        <v>114</v>
      </c>
      <c r="C68">
        <v>1620</v>
      </c>
      <c r="D68">
        <v>285.154</v>
      </c>
      <c r="E68">
        <v>461949.89899999998</v>
      </c>
      <c r="F68">
        <v>279.70400000000001</v>
      </c>
      <c r="G68">
        <v>461949.89899999998</v>
      </c>
      <c r="H68">
        <v>1</v>
      </c>
      <c r="I68">
        <v>160.99199999999999</v>
      </c>
      <c r="J68" t="s">
        <v>64</v>
      </c>
      <c r="K68" t="s">
        <v>102</v>
      </c>
      <c r="L68">
        <f t="shared" ref="L68" si="26">I68/4.95</f>
        <v>32.523636363636363</v>
      </c>
      <c r="M68">
        <f>G68-(((G$76/C$76*C68)+(G$77/C$77*C68)+(G$78/C$78*C68))/3)</f>
        <v>7701.6287785252207</v>
      </c>
      <c r="N68" s="1">
        <f t="shared" ref="N68" si="27">M68/L68</f>
        <v>236.80097429499506</v>
      </c>
    </row>
    <row r="69" spans="1:14" x14ac:dyDescent="0.2">
      <c r="A69">
        <v>2</v>
      </c>
      <c r="B69" t="s">
        <v>115</v>
      </c>
      <c r="C69">
        <v>1470</v>
      </c>
      <c r="D69">
        <v>284.45299999999997</v>
      </c>
      <c r="E69">
        <v>418146.36099999998</v>
      </c>
      <c r="F69">
        <v>282.58199999999999</v>
      </c>
      <c r="G69">
        <v>418146.36099999998</v>
      </c>
      <c r="H69">
        <v>1</v>
      </c>
      <c r="I69">
        <v>145.99</v>
      </c>
      <c r="J69" t="s">
        <v>65</v>
      </c>
      <c r="K69" t="s">
        <v>102</v>
      </c>
      <c r="L69">
        <f t="shared" ref="L69:L75" si="28">I69/4.95</f>
        <v>29.492929292929293</v>
      </c>
      <c r="M69">
        <f t="shared" ref="M69:M75" si="29">G69-(((G$76/C$76*C69)+(G$77/C$77*C69)+(G$78/C$78*C69))/3)</f>
        <v>5958.1157990321517</v>
      </c>
      <c r="N69" s="1">
        <f t="shared" ref="N69:N75" si="30">M69/L69</f>
        <v>202.01844787457463</v>
      </c>
    </row>
    <row r="70" spans="1:14" x14ac:dyDescent="0.2">
      <c r="A70">
        <v>3</v>
      </c>
      <c r="B70" t="s">
        <v>116</v>
      </c>
      <c r="C70">
        <v>1660</v>
      </c>
      <c r="D70">
        <v>288.97300000000001</v>
      </c>
      <c r="E70">
        <v>479694.60600000003</v>
      </c>
      <c r="F70">
        <v>282.95299999999997</v>
      </c>
      <c r="G70">
        <v>479694.60600000003</v>
      </c>
      <c r="H70">
        <v>1</v>
      </c>
      <c r="I70">
        <v>164.97900000000001</v>
      </c>
      <c r="J70" t="s">
        <v>66</v>
      </c>
      <c r="K70" t="s">
        <v>102</v>
      </c>
      <c r="L70">
        <f t="shared" si="28"/>
        <v>33.329090909090908</v>
      </c>
      <c r="M70">
        <f t="shared" si="29"/>
        <v>14230.329106390069</v>
      </c>
      <c r="N70" s="1">
        <f t="shared" si="30"/>
        <v>426.96421409167738</v>
      </c>
    </row>
    <row r="71" spans="1:14" x14ac:dyDescent="0.2">
      <c r="A71">
        <v>4</v>
      </c>
      <c r="B71" t="s">
        <v>117</v>
      </c>
      <c r="C71">
        <v>1600</v>
      </c>
      <c r="D71">
        <v>290.55399999999997</v>
      </c>
      <c r="E71">
        <v>464885.77600000001</v>
      </c>
      <c r="F71">
        <v>284.02</v>
      </c>
      <c r="G71">
        <v>464885.77600000001</v>
      </c>
      <c r="H71">
        <v>1</v>
      </c>
      <c r="I71">
        <v>158.97999999999999</v>
      </c>
      <c r="J71" t="s">
        <v>67</v>
      </c>
      <c r="K71" t="s">
        <v>102</v>
      </c>
      <c r="L71">
        <f t="shared" si="28"/>
        <v>32.117171717171715</v>
      </c>
      <c r="M71">
        <f t="shared" si="29"/>
        <v>16245.509114592802</v>
      </c>
      <c r="N71" s="1">
        <f t="shared" si="30"/>
        <v>505.82004099405191</v>
      </c>
    </row>
    <row r="72" spans="1:14" x14ac:dyDescent="0.2">
      <c r="A72">
        <v>5</v>
      </c>
      <c r="B72" t="s">
        <v>118</v>
      </c>
      <c r="C72">
        <v>1740</v>
      </c>
      <c r="D72">
        <v>294.73700000000002</v>
      </c>
      <c r="E72">
        <v>512842.804</v>
      </c>
      <c r="F72">
        <v>285.10300000000001</v>
      </c>
      <c r="G72">
        <v>512842.804</v>
      </c>
      <c r="H72">
        <v>1</v>
      </c>
      <c r="I72">
        <v>172.989</v>
      </c>
      <c r="J72" t="s">
        <v>68</v>
      </c>
      <c r="K72" t="s">
        <v>102</v>
      </c>
      <c r="L72">
        <f t="shared" si="28"/>
        <v>34.947272727272725</v>
      </c>
      <c r="M72">
        <f t="shared" si="29"/>
        <v>24946.513762119692</v>
      </c>
      <c r="N72" s="1">
        <f t="shared" si="30"/>
        <v>713.83292072034919</v>
      </c>
    </row>
    <row r="73" spans="1:14" x14ac:dyDescent="0.2">
      <c r="A73">
        <v>6</v>
      </c>
      <c r="B73" t="s">
        <v>119</v>
      </c>
      <c r="C73">
        <v>1790</v>
      </c>
      <c r="D73">
        <v>292.125</v>
      </c>
      <c r="E73">
        <v>522904.43</v>
      </c>
      <c r="F73">
        <v>284.23099999999999</v>
      </c>
      <c r="G73">
        <v>522904.43</v>
      </c>
      <c r="H73">
        <v>1</v>
      </c>
      <c r="I73">
        <v>177.994</v>
      </c>
      <c r="J73" t="s">
        <v>69</v>
      </c>
      <c r="K73" t="s">
        <v>102</v>
      </c>
      <c r="L73">
        <f t="shared" si="28"/>
        <v>35.958383838383838</v>
      </c>
      <c r="M73">
        <f t="shared" si="29"/>
        <v>20988.131421950762</v>
      </c>
      <c r="N73" s="1">
        <f t="shared" si="30"/>
        <v>583.67838544364565</v>
      </c>
    </row>
    <row r="74" spans="1:14" x14ac:dyDescent="0.2">
      <c r="A74">
        <v>7</v>
      </c>
      <c r="B74" t="s">
        <v>120</v>
      </c>
      <c r="C74">
        <v>1650</v>
      </c>
      <c r="D74">
        <v>288.85399999999998</v>
      </c>
      <c r="E74">
        <v>476608.64199999999</v>
      </c>
      <c r="F74">
        <v>282.85000000000002</v>
      </c>
      <c r="G74">
        <v>476608.64199999999</v>
      </c>
      <c r="H74">
        <v>1</v>
      </c>
      <c r="I74">
        <v>163.988</v>
      </c>
      <c r="J74" t="s">
        <v>70</v>
      </c>
      <c r="K74" t="s">
        <v>102</v>
      </c>
      <c r="L74">
        <f t="shared" si="28"/>
        <v>33.128888888888888</v>
      </c>
      <c r="M74">
        <f t="shared" si="29"/>
        <v>13948.366774423805</v>
      </c>
      <c r="N74" s="1">
        <f t="shared" si="30"/>
        <v>421.03334105786911</v>
      </c>
    </row>
    <row r="75" spans="1:14" x14ac:dyDescent="0.2">
      <c r="A75">
        <v>8</v>
      </c>
      <c r="B75" t="s">
        <v>121</v>
      </c>
      <c r="C75">
        <v>2120</v>
      </c>
      <c r="D75">
        <v>298.392</v>
      </c>
      <c r="E75">
        <v>632591.87399999995</v>
      </c>
      <c r="F75">
        <v>284.36200000000002</v>
      </c>
      <c r="G75">
        <v>632591.87399999995</v>
      </c>
      <c r="H75">
        <v>1</v>
      </c>
      <c r="I75">
        <v>210.994</v>
      </c>
      <c r="J75" t="s">
        <v>71</v>
      </c>
      <c r="K75" t="s">
        <v>102</v>
      </c>
      <c r="L75">
        <f t="shared" si="28"/>
        <v>42.625050505050503</v>
      </c>
      <c r="M75">
        <f t="shared" si="29"/>
        <v>38143.520376835484</v>
      </c>
      <c r="N75" s="1">
        <f t="shared" si="30"/>
        <v>894.86158784295128</v>
      </c>
    </row>
    <row r="76" spans="1:14" x14ac:dyDescent="0.2">
      <c r="A76">
        <v>9</v>
      </c>
      <c r="B76" t="s">
        <v>122</v>
      </c>
      <c r="C76">
        <v>1600</v>
      </c>
      <c r="D76">
        <v>280.47300000000001</v>
      </c>
      <c r="E76">
        <v>448757.01899999997</v>
      </c>
      <c r="F76">
        <v>280.512</v>
      </c>
      <c r="G76">
        <v>448757.01899999997</v>
      </c>
      <c r="H76">
        <v>1</v>
      </c>
      <c r="I76">
        <v>159</v>
      </c>
      <c r="J76" t="s">
        <v>54</v>
      </c>
      <c r="K76" t="s">
        <v>102</v>
      </c>
    </row>
    <row r="77" spans="1:14" x14ac:dyDescent="0.2">
      <c r="A77">
        <v>10</v>
      </c>
      <c r="B77" t="s">
        <v>123</v>
      </c>
      <c r="C77">
        <v>1900</v>
      </c>
      <c r="D77">
        <v>280.24599999999998</v>
      </c>
      <c r="E77">
        <v>532466.89800000004</v>
      </c>
      <c r="F77">
        <v>280.214</v>
      </c>
      <c r="G77">
        <v>532466.89800000004</v>
      </c>
      <c r="H77">
        <v>1</v>
      </c>
      <c r="I77">
        <v>189</v>
      </c>
      <c r="J77" t="s">
        <v>54</v>
      </c>
      <c r="K77" t="s">
        <v>102</v>
      </c>
    </row>
    <row r="78" spans="1:14" x14ac:dyDescent="0.2">
      <c r="A78">
        <v>11</v>
      </c>
      <c r="B78" t="s">
        <v>124</v>
      </c>
      <c r="C78">
        <v>1730</v>
      </c>
      <c r="D78">
        <v>280.48200000000003</v>
      </c>
      <c r="E78">
        <v>485233.21600000001</v>
      </c>
      <c r="F78">
        <v>280.50599999999997</v>
      </c>
      <c r="G78">
        <v>485233.21600000001</v>
      </c>
      <c r="H78">
        <v>1</v>
      </c>
      <c r="I78">
        <v>172</v>
      </c>
      <c r="J78" t="s">
        <v>54</v>
      </c>
      <c r="K78" t="s">
        <v>102</v>
      </c>
    </row>
    <row r="79" spans="1:14" x14ac:dyDescent="0.2">
      <c r="A79">
        <v>1</v>
      </c>
      <c r="B79" t="s">
        <v>125</v>
      </c>
      <c r="C79">
        <v>1470</v>
      </c>
      <c r="D79">
        <v>288.09100000000001</v>
      </c>
      <c r="E79">
        <v>423493.50300000003</v>
      </c>
      <c r="F79">
        <v>281.68900000000002</v>
      </c>
      <c r="G79">
        <v>423493.50300000003</v>
      </c>
      <c r="H79">
        <v>1</v>
      </c>
      <c r="I79">
        <v>145.982</v>
      </c>
      <c r="J79" t="s">
        <v>83</v>
      </c>
      <c r="K79" t="s">
        <v>102</v>
      </c>
      <c r="L79">
        <f t="shared" ref="L79" si="31">I79/4.95</f>
        <v>29.491313131313131</v>
      </c>
      <c r="M79">
        <f>G79-(((G$87/C$87*C79)+(G$88/C$88*C79)+(G$89/C$89*C79))/3)</f>
        <v>11868.315342744987</v>
      </c>
      <c r="N79" s="1">
        <f t="shared" ref="N79" si="32">M79/L79</f>
        <v>402.43427920283108</v>
      </c>
    </row>
    <row r="80" spans="1:14" x14ac:dyDescent="0.2">
      <c r="A80">
        <v>2</v>
      </c>
      <c r="B80" t="s">
        <v>126</v>
      </c>
      <c r="C80">
        <v>2010</v>
      </c>
      <c r="D80">
        <v>293.32</v>
      </c>
      <c r="E80">
        <v>589573.62199999997</v>
      </c>
      <c r="F80">
        <v>283.017</v>
      </c>
      <c r="G80">
        <v>589573.62199999997</v>
      </c>
      <c r="H80">
        <v>1</v>
      </c>
      <c r="I80">
        <v>199.988</v>
      </c>
      <c r="J80" t="s">
        <v>84</v>
      </c>
      <c r="K80" t="s">
        <v>102</v>
      </c>
      <c r="L80">
        <f t="shared" ref="L80:L89" si="33">I80/4.95</f>
        <v>40.401616161616161</v>
      </c>
      <c r="M80">
        <f t="shared" ref="M80:M86" si="34">G80-(((G$87/C$87*C80)+(G$88/C$88*C80)+(G$89/C$89*C80))/3)</f>
        <v>26739.181733957375</v>
      </c>
      <c r="N80" s="1">
        <f t="shared" ref="N80:N86" si="35">M80/L80</f>
        <v>661.83445798292405</v>
      </c>
    </row>
    <row r="81" spans="1:14" x14ac:dyDescent="0.2">
      <c r="A81">
        <v>3</v>
      </c>
      <c r="B81" t="s">
        <v>127</v>
      </c>
      <c r="C81">
        <v>1950</v>
      </c>
      <c r="D81">
        <v>292.11399999999998</v>
      </c>
      <c r="E81">
        <v>569621.33299999998</v>
      </c>
      <c r="F81">
        <v>283.577</v>
      </c>
      <c r="G81">
        <v>569621.33299999998</v>
      </c>
      <c r="H81">
        <v>1</v>
      </c>
      <c r="I81">
        <v>193.94200000000001</v>
      </c>
      <c r="J81" t="s">
        <v>85</v>
      </c>
      <c r="K81" t="s">
        <v>102</v>
      </c>
      <c r="L81">
        <f t="shared" si="33"/>
        <v>39.180202020202017</v>
      </c>
      <c r="M81">
        <f t="shared" si="34"/>
        <v>23587.920801600441</v>
      </c>
      <c r="N81" s="1">
        <f t="shared" si="35"/>
        <v>602.03673246600624</v>
      </c>
    </row>
    <row r="82" spans="1:14" x14ac:dyDescent="0.2">
      <c r="A82">
        <v>4</v>
      </c>
      <c r="B82" t="s">
        <v>128</v>
      </c>
      <c r="C82">
        <v>1290</v>
      </c>
      <c r="D82">
        <v>282.14299999999997</v>
      </c>
      <c r="E82">
        <v>363964.723</v>
      </c>
      <c r="F82">
        <v>281.19499999999999</v>
      </c>
      <c r="G82">
        <v>363964.723</v>
      </c>
      <c r="H82">
        <v>1</v>
      </c>
      <c r="I82">
        <v>127.996</v>
      </c>
      <c r="J82" t="s">
        <v>86</v>
      </c>
      <c r="K82" t="s">
        <v>102</v>
      </c>
      <c r="L82">
        <f t="shared" si="33"/>
        <v>25.857777777777777</v>
      </c>
      <c r="M82">
        <f t="shared" si="34"/>
        <v>2742.6195456741843</v>
      </c>
      <c r="N82" s="1">
        <f t="shared" si="35"/>
        <v>106.06555479145608</v>
      </c>
    </row>
    <row r="83" spans="1:14" x14ac:dyDescent="0.2">
      <c r="A83">
        <v>5</v>
      </c>
      <c r="B83" t="s">
        <v>129</v>
      </c>
      <c r="C83">
        <v>1770</v>
      </c>
      <c r="D83">
        <v>293.18700000000001</v>
      </c>
      <c r="E83">
        <v>518941.13199999998</v>
      </c>
      <c r="F83">
        <v>282.483</v>
      </c>
      <c r="G83">
        <v>518941.13199999998</v>
      </c>
      <c r="H83">
        <v>1</v>
      </c>
      <c r="I83">
        <v>175.97900000000001</v>
      </c>
      <c r="J83" t="s">
        <v>87</v>
      </c>
      <c r="K83" t="s">
        <v>102</v>
      </c>
      <c r="L83">
        <f t="shared" si="33"/>
        <v>35.55131313131313</v>
      </c>
      <c r="M83">
        <f t="shared" si="34"/>
        <v>23310.804004529549</v>
      </c>
      <c r="N83" s="1">
        <f t="shared" si="35"/>
        <v>655.69459891476413</v>
      </c>
    </row>
    <row r="84" spans="1:14" x14ac:dyDescent="0.2">
      <c r="A84">
        <v>6</v>
      </c>
      <c r="B84" t="s">
        <v>130</v>
      </c>
      <c r="C84">
        <v>1810</v>
      </c>
      <c r="D84">
        <v>288.31900000000002</v>
      </c>
      <c r="E84">
        <v>521856.85399999999</v>
      </c>
      <c r="F84">
        <v>282.83</v>
      </c>
      <c r="G84">
        <v>521856.85399999999</v>
      </c>
      <c r="H84">
        <v>1</v>
      </c>
      <c r="I84">
        <v>179.983</v>
      </c>
      <c r="J84" t="s">
        <v>88</v>
      </c>
      <c r="K84" t="s">
        <v>102</v>
      </c>
      <c r="L84">
        <f t="shared" si="33"/>
        <v>36.360202020202017</v>
      </c>
      <c r="M84">
        <f t="shared" si="34"/>
        <v>15025.840626100951</v>
      </c>
      <c r="N84" s="1">
        <f t="shared" si="35"/>
        <v>413.24964635104266</v>
      </c>
    </row>
    <row r="85" spans="1:14" x14ac:dyDescent="0.2">
      <c r="A85">
        <v>7</v>
      </c>
      <c r="B85" t="s">
        <v>131</v>
      </c>
      <c r="C85">
        <v>1660</v>
      </c>
      <c r="D85">
        <v>288.55900000000003</v>
      </c>
      <c r="E85">
        <v>479007.85800000001</v>
      </c>
      <c r="F85">
        <v>282.209</v>
      </c>
      <c r="G85">
        <v>479007.85800000001</v>
      </c>
      <c r="H85">
        <v>1</v>
      </c>
      <c r="I85">
        <v>164.946</v>
      </c>
      <c r="J85" t="s">
        <v>89</v>
      </c>
      <c r="K85" t="s">
        <v>102</v>
      </c>
      <c r="L85">
        <f t="shared" si="33"/>
        <v>33.322424242424241</v>
      </c>
      <c r="M85">
        <f t="shared" si="34"/>
        <v>14179.414795208548</v>
      </c>
      <c r="N85" s="1">
        <f t="shared" si="35"/>
        <v>425.52170550533094</v>
      </c>
    </row>
    <row r="86" spans="1:14" x14ac:dyDescent="0.2">
      <c r="A86">
        <v>8</v>
      </c>
      <c r="B86" t="s">
        <v>132</v>
      </c>
      <c r="C86">
        <v>1620</v>
      </c>
      <c r="D86">
        <v>286.53399999999999</v>
      </c>
      <c r="E86">
        <v>464185.78399999999</v>
      </c>
      <c r="F86">
        <v>281.84899999999999</v>
      </c>
      <c r="G86">
        <v>464185.78399999999</v>
      </c>
      <c r="H86">
        <v>1</v>
      </c>
      <c r="I86">
        <v>160.98400000000001</v>
      </c>
      <c r="J86" t="s">
        <v>90</v>
      </c>
      <c r="K86" t="s">
        <v>102</v>
      </c>
      <c r="L86">
        <f t="shared" si="33"/>
        <v>32.522020202020201</v>
      </c>
      <c r="M86">
        <f t="shared" si="34"/>
        <v>10558.026173637307</v>
      </c>
      <c r="N86" s="1">
        <f t="shared" si="35"/>
        <v>324.64238408478275</v>
      </c>
    </row>
    <row r="87" spans="1:14" x14ac:dyDescent="0.2">
      <c r="A87">
        <v>9</v>
      </c>
      <c r="B87" t="s">
        <v>133</v>
      </c>
      <c r="C87">
        <v>1790</v>
      </c>
      <c r="D87">
        <v>280.11599999999999</v>
      </c>
      <c r="E87">
        <v>501407.65700000001</v>
      </c>
      <c r="F87">
        <v>280.09300000000002</v>
      </c>
      <c r="G87">
        <v>501407.65700000001</v>
      </c>
      <c r="H87">
        <v>1</v>
      </c>
      <c r="I87">
        <v>178</v>
      </c>
      <c r="J87" t="s">
        <v>54</v>
      </c>
      <c r="K87" t="s">
        <v>102</v>
      </c>
      <c r="L87">
        <f t="shared" si="33"/>
        <v>35.959595959595958</v>
      </c>
      <c r="N87" s="1"/>
    </row>
    <row r="88" spans="1:14" x14ac:dyDescent="0.2">
      <c r="A88">
        <v>10</v>
      </c>
      <c r="B88" t="s">
        <v>134</v>
      </c>
      <c r="C88">
        <v>1850</v>
      </c>
      <c r="D88">
        <v>279.74200000000002</v>
      </c>
      <c r="E88">
        <v>517522.76</v>
      </c>
      <c r="F88">
        <v>279.774</v>
      </c>
      <c r="G88">
        <v>517522.76</v>
      </c>
      <c r="H88">
        <v>1</v>
      </c>
      <c r="I88">
        <v>183.999</v>
      </c>
      <c r="J88" t="s">
        <v>54</v>
      </c>
      <c r="K88" t="s">
        <v>102</v>
      </c>
      <c r="L88">
        <f t="shared" si="33"/>
        <v>37.171515151515152</v>
      </c>
      <c r="N88" s="1"/>
    </row>
    <row r="89" spans="1:14" x14ac:dyDescent="0.2">
      <c r="A89">
        <v>11</v>
      </c>
      <c r="B89" t="s">
        <v>135</v>
      </c>
      <c r="C89">
        <v>1790</v>
      </c>
      <c r="D89">
        <v>280.19299999999998</v>
      </c>
      <c r="E89">
        <v>501546.11700000003</v>
      </c>
      <c r="F89">
        <v>280.24400000000003</v>
      </c>
      <c r="G89">
        <v>501546.11700000003</v>
      </c>
      <c r="H89">
        <v>1</v>
      </c>
      <c r="I89">
        <v>178</v>
      </c>
      <c r="J89" t="s">
        <v>54</v>
      </c>
      <c r="K89" t="s">
        <v>102</v>
      </c>
      <c r="L89">
        <f t="shared" si="33"/>
        <v>35.959595959595958</v>
      </c>
      <c r="N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2021-04-23T14:50:52Z</dcterms:created>
  <dcterms:modified xsi:type="dcterms:W3CDTF">2021-07-02T12:11:34Z</dcterms:modified>
</cp:coreProperties>
</file>