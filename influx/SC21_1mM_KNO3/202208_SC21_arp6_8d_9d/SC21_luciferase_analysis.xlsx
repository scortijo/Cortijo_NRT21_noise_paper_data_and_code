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/Desktop/BPMP/papers/papers/2024_NRT21_noise/clean_data_scripts/influx/20220808_arp6_SC21/202208_SC21_arp6_8d_9d/"/>
    </mc:Choice>
  </mc:AlternateContent>
  <xr:revisionPtr revIDLastSave="0" documentId="13_ncr:1_{E463069D-59FD-F74D-8574-AF67FB92A5FD}" xr6:coauthVersionLast="36" xr6:coauthVersionMax="36" xr10:uidLastSave="{00000000-0000-0000-0000-000000000000}"/>
  <bookViews>
    <workbookView xWindow="39460" yWindow="-180" windowWidth="27640" windowHeight="18180" xr2:uid="{55C81D4A-BAAE-8F42-B3DD-6C39686B4DE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" i="1" l="1"/>
  <c r="N34" i="1"/>
  <c r="M35" i="1"/>
  <c r="N35" i="1"/>
  <c r="O35" i="1" s="1"/>
  <c r="M36" i="1"/>
  <c r="N36" i="1"/>
  <c r="M37" i="1"/>
  <c r="N37" i="1"/>
  <c r="O37" i="1" s="1"/>
  <c r="M38" i="1"/>
  <c r="N38" i="1"/>
  <c r="M39" i="1"/>
  <c r="N39" i="1"/>
  <c r="M40" i="1"/>
  <c r="N40" i="1"/>
  <c r="N33" i="1"/>
  <c r="M33" i="1"/>
  <c r="M24" i="1"/>
  <c r="N24" i="1"/>
  <c r="M25" i="1"/>
  <c r="N25" i="1"/>
  <c r="O25" i="1" s="1"/>
  <c r="M26" i="1"/>
  <c r="N26" i="1"/>
  <c r="M27" i="1"/>
  <c r="N27" i="1"/>
  <c r="O27" i="1" s="1"/>
  <c r="M28" i="1"/>
  <c r="N28" i="1"/>
  <c r="O28" i="1" s="1"/>
  <c r="M29" i="1"/>
  <c r="N29" i="1"/>
  <c r="N23" i="1"/>
  <c r="M23" i="1"/>
  <c r="N13" i="1"/>
  <c r="O13" i="1" s="1"/>
  <c r="N14" i="1"/>
  <c r="O14" i="1" s="1"/>
  <c r="N15" i="1"/>
  <c r="N16" i="1"/>
  <c r="N17" i="1"/>
  <c r="N18" i="1"/>
  <c r="O18" i="1" s="1"/>
  <c r="N19" i="1"/>
  <c r="N12" i="1"/>
  <c r="M13" i="1"/>
  <c r="M14" i="1"/>
  <c r="M15" i="1"/>
  <c r="M16" i="1"/>
  <c r="M17" i="1"/>
  <c r="M18" i="1"/>
  <c r="M19" i="1"/>
  <c r="M12" i="1"/>
  <c r="O5" i="1"/>
  <c r="O6" i="1"/>
  <c r="N3" i="1"/>
  <c r="N4" i="1"/>
  <c r="N5" i="1"/>
  <c r="N6" i="1"/>
  <c r="N7" i="1"/>
  <c r="O7" i="1" s="1"/>
  <c r="N8" i="1"/>
  <c r="O8" i="1" s="1"/>
  <c r="N2" i="1"/>
  <c r="O2" i="1" s="1"/>
  <c r="M3" i="1"/>
  <c r="M4" i="1"/>
  <c r="M5" i="1"/>
  <c r="M6" i="1"/>
  <c r="M7" i="1"/>
  <c r="M8" i="1"/>
  <c r="M2" i="1"/>
  <c r="O12" i="1" l="1"/>
  <c r="O23" i="1"/>
  <c r="O40" i="1"/>
  <c r="O36" i="1"/>
  <c r="O19" i="1"/>
  <c r="O17" i="1"/>
  <c r="O4" i="1"/>
  <c r="O16" i="1"/>
  <c r="O24" i="1"/>
  <c r="O38" i="1"/>
  <c r="O34" i="1"/>
  <c r="O3" i="1"/>
  <c r="O15" i="1"/>
  <c r="O39" i="1"/>
  <c r="O33" i="1"/>
  <c r="O26" i="1"/>
  <c r="O29" i="1"/>
</calcChain>
</file>

<file path=xl/sharedStrings.xml><?xml version="1.0" encoding="utf-8"?>
<sst xmlns="http://schemas.openxmlformats.org/spreadsheetml/2006/main" count="182" uniqueCount="89">
  <si>
    <t>pNRT21luc_1mM_8d_plate1_luc.tif:0116-0047</t>
  </si>
  <si>
    <t>pNRT21luc_1mM_8d_plate1_luc.tif:0104-0100</t>
  </si>
  <si>
    <t>pNRT21luc_1mM_8d_plate1_luc.tif:0110-0153</t>
  </si>
  <si>
    <t>pNRT21luc_1mM_8d_plate1_luc.tif:0105-0281</t>
  </si>
  <si>
    <t>pNRT21luc_1mM_8d_plate1_luc.tif:0100-0337</t>
  </si>
  <si>
    <t>pNRT21luc_1mM_8d_plate1_luc.tif:0100-0382</t>
  </si>
  <si>
    <t>pNRT21luc_1mM_8d_plate1_luc.tif:0104-0440</t>
  </si>
  <si>
    <t>pNRT21luc_1mM_8d_plate1_luc.tif:0110-0188</t>
  </si>
  <si>
    <t>pNRT21luc_1mM_8d_plate1_luc.tif:0185-0378</t>
  </si>
  <si>
    <t>pNRT21luc_1mM_8d_plate1_luc.tif:0033-0126</t>
  </si>
  <si>
    <t>plate</t>
  </si>
  <si>
    <t>are</t>
  </si>
  <si>
    <t>mean</t>
  </si>
  <si>
    <t>IntDen</t>
  </si>
  <si>
    <t>median</t>
  </si>
  <si>
    <t>RawIntDen</t>
  </si>
  <si>
    <t>slice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</si>
  <si>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</si>
  <si>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</si>
  <si>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</si>
  <si>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</si>
  <si>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</si>
  <si>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</si>
  <si>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</si>
  <si>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</si>
  <si>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</si>
  <si>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</si>
  <si>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</si>
  <si>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</si>
  <si>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</si>
  <si>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</si>
  <si>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</si>
  <si>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background</t>
  </si>
  <si>
    <t>pNRT2.1:luc</t>
  </si>
  <si>
    <t>1mM</t>
  </si>
  <si>
    <t>pNRT21luc_1mM_8d_plate2_luc.tif:0110-0051</t>
  </si>
  <si>
    <t>pNRT21luc_1mM_8d_plate2_luc.tif:0105-0097</t>
  </si>
  <si>
    <t>pNRT21luc_1mM_8d_plate2_luc.tif:0107-0155</t>
  </si>
  <si>
    <t>pNRT21luc_1mM_8d_plate2_luc.tif:0126-0210</t>
  </si>
  <si>
    <t>pNRT21luc_1mM_8d_plate2_luc.tif:0100-0266</t>
  </si>
  <si>
    <t>pNRT21luc_1mM_8d_plate2_luc.tif:0121-0329</t>
  </si>
  <si>
    <t>pNRT21luc_1mM_8d_plate2_luc.tif:0109-0386</t>
  </si>
  <si>
    <t>pNRT21luc_1mM_8d_plate2_luc.tif:0112-0430</t>
  </si>
  <si>
    <t>pNRT21luc_1mM_8d_plate2_luc.tif:0123-0120</t>
  </si>
  <si>
    <t>pNRT21luc_1mM_8d_plate2_luc.tif:0201-0373</t>
  </si>
  <si>
    <t>pNRT21luc_1mM_8d_plate2_luc.tif:0034-0228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</si>
  <si>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</si>
  <si>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</si>
  <si>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</si>
  <si>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</si>
  <si>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</si>
  <si>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</si>
  <si>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</si>
  <si>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</si>
  <si>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</si>
  <si>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seedling18</t>
  </si>
  <si>
    <t>seedling19</t>
  </si>
  <si>
    <t>seedling20</t>
  </si>
  <si>
    <t>seedling21</t>
  </si>
  <si>
    <t>seedling22</t>
  </si>
  <si>
    <t>pNRT21luc_1mM_8d_plate3_luc.tif:0108-0057</t>
  </si>
  <si>
    <t>pNRT21luc_1mM_8d_plate3_luc.tif:0108-0118</t>
  </si>
  <si>
    <t>pNRT21luc_1mM_8d_plate3_luc.tif:0111-0161</t>
  </si>
  <si>
    <t>pNRT21luc_1mM_8d_plate3_luc.tif:0119-0228</t>
  </si>
  <si>
    <t>pNRT21luc_1mM_8d_plate3_luc.tif:0105-0282</t>
  </si>
  <si>
    <t>pNRT21luc_1mM_8d_plate3_luc.tif:0125-0390</t>
  </si>
  <si>
    <t>pNRT21luc_1mM_8d_plate3_luc.tif:0128-0448</t>
  </si>
  <si>
    <t>pNRT21luc_1mM_8d_plate3_luc.tif:0120-0204</t>
  </si>
  <si>
    <t>pNRT21luc_1mM_8d_plate3_luc.tif:0033-0321</t>
  </si>
  <si>
    <t>pNRT21luc_1mM_8d_plate3_luc.tif:0190-0113</t>
  </si>
  <si>
    <t>pNRT21luc_1mM_8d_plate4_luc.tif:0118-0059</t>
  </si>
  <si>
    <t>pNRT21luc_1mM_8d_plate4_luc.tif:0122-0120</t>
  </si>
  <si>
    <t>pNRT21luc_1mM_8d_plate4_luc.tif:0123-0181</t>
  </si>
  <si>
    <t>pNRT21luc_1mM_8d_plate4_luc.tif:0122-0244</t>
  </si>
  <si>
    <t>pNRT21luc_1mM_8d_plate4_luc.tif:0120-0289</t>
  </si>
  <si>
    <t>pNRT21luc_1mM_8d_plate4_luc.tif:0112-0350</t>
  </si>
  <si>
    <t>pNRT21luc_1mM_8d_plate4_luc.tif:0123-0393</t>
  </si>
  <si>
    <t>pNRT21luc_1mM_8d_plate4_luc.tif:0124-0456</t>
  </si>
  <si>
    <t>pNRT21luc_1mM_8d_plate4_luc.tif:0119-0215</t>
  </si>
  <si>
    <t>pNRT21luc_1mM_8d_plate4_luc.tif:0031-0193</t>
  </si>
  <si>
    <t>pNRT21luc_1mM_8d_plate4_luc.tif:0208-0402</t>
  </si>
  <si>
    <t>seedling23</t>
  </si>
  <si>
    <t>seedling24</t>
  </si>
  <si>
    <t>seedling25</t>
  </si>
  <si>
    <t>seedling26</t>
  </si>
  <si>
    <t>seedling27</t>
  </si>
  <si>
    <t>seedling28</t>
  </si>
  <si>
    <t>seedling29</t>
  </si>
  <si>
    <t>seedling30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</si>
</sst>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3E7D-1FE8-BE46-AD8B-2805E3BC2725}">
  <dimension ref="A1:O43"/>
  <sheetViews>
    <sheetView tabSelected="1" workbookViewId="0">
      <selection activeCell="N47" sqref="N47"/>
    </sheetView>
  </sheetViews>
  <sheetFormatPr baseColWidth="10" defaultRowHeight="16" x14ac:dyDescent="0.2"/>
  <cols>
    <col min="2" max="2" width="40.1640625" bestFit="1" customWidth="1"/>
    <col min="3" max="3" width="5.1640625" bestFit="1" customWidth="1"/>
    <col min="4" max="4" width="8.1640625" bestFit="1" customWidth="1"/>
    <col min="5" max="5" width="11.1640625" bestFit="1" customWidth="1"/>
    <col min="11" max="11" width="15.6640625" bestFit="1" customWidth="1"/>
    <col min="14" max="14" width="20" bestFit="1" customWidth="1"/>
    <col min="15" max="15" width="29" bestFit="1" customWidth="1"/>
  </cols>
  <sheetData>
    <row r="1" spans="1:15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s="1" t="s">
        <v>23</v>
      </c>
    </row>
    <row r="2" spans="1:15" x14ac:dyDescent="0.2">
      <c r="A2">
        <v>1</v>
      </c>
      <c r="B2" t="s">
        <v>0</v>
      </c>
      <c r="C2">
        <v>1048</v>
      </c>
      <c r="D2">
        <v>383.05500000000001</v>
      </c>
      <c r="E2">
        <v>401441.29700000002</v>
      </c>
      <c r="F2">
        <v>332.149</v>
      </c>
      <c r="G2">
        <v>401441.29700000002</v>
      </c>
      <c r="H2">
        <v>1</v>
      </c>
      <c r="I2">
        <v>129.982</v>
      </c>
      <c r="J2" t="s">
        <v>24</v>
      </c>
      <c r="K2" t="s">
        <v>33</v>
      </c>
      <c r="L2" t="s">
        <v>34</v>
      </c>
      <c r="M2">
        <f>I2/4.95</f>
        <v>26.258989898989899</v>
      </c>
      <c r="N2">
        <f>G2-(((G$9/C$9*C2)+(G$10/C$10*C2)+(G$11/C$11*C2))/3)</f>
        <v>114494.04320301657</v>
      </c>
      <c r="O2">
        <f>N2/M2</f>
        <v>4360.1845936739855</v>
      </c>
    </row>
    <row r="3" spans="1:15" x14ac:dyDescent="0.2">
      <c r="A3">
        <v>2</v>
      </c>
      <c r="B3" t="s">
        <v>1</v>
      </c>
      <c r="C3">
        <v>888</v>
      </c>
      <c r="D3">
        <v>324.74200000000002</v>
      </c>
      <c r="E3">
        <v>288370.94300000003</v>
      </c>
      <c r="F3">
        <v>298.654</v>
      </c>
      <c r="G3">
        <v>288370.94300000003</v>
      </c>
      <c r="H3">
        <v>1</v>
      </c>
      <c r="I3">
        <v>109.98699999999999</v>
      </c>
      <c r="J3" t="s">
        <v>25</v>
      </c>
      <c r="K3" t="s">
        <v>33</v>
      </c>
      <c r="L3" t="s">
        <v>34</v>
      </c>
      <c r="M3">
        <f t="shared" ref="M3:M8" si="0">I3/4.95</f>
        <v>22.219595959595956</v>
      </c>
      <c r="N3">
        <f t="shared" ref="N3:N8" si="1">G3-(((G$9/C$9*C3)+(G$10/C$10*C3)+(G$11/C$11*C3))/3)</f>
        <v>45232.430240723974</v>
      </c>
      <c r="O3">
        <f t="shared" ref="O3:O8" si="2">N3/M3</f>
        <v>2035.6999435531809</v>
      </c>
    </row>
    <row r="4" spans="1:15" x14ac:dyDescent="0.2">
      <c r="A4">
        <v>3</v>
      </c>
      <c r="B4" t="s">
        <v>2</v>
      </c>
      <c r="C4">
        <v>1016</v>
      </c>
      <c r="D4">
        <v>331.452</v>
      </c>
      <c r="E4">
        <v>336755.065</v>
      </c>
      <c r="F4">
        <v>301.61700000000002</v>
      </c>
      <c r="G4">
        <v>336755.065</v>
      </c>
      <c r="H4">
        <v>1</v>
      </c>
      <c r="I4">
        <v>125.974</v>
      </c>
      <c r="J4" t="s">
        <v>26</v>
      </c>
      <c r="K4" t="s">
        <v>33</v>
      </c>
      <c r="L4" t="s">
        <v>34</v>
      </c>
      <c r="M4">
        <f t="shared" si="0"/>
        <v>25.44929292929293</v>
      </c>
      <c r="N4">
        <f t="shared" si="1"/>
        <v>58569.55941055814</v>
      </c>
      <c r="O4">
        <f t="shared" si="2"/>
        <v>2301.4218734204105</v>
      </c>
    </row>
    <row r="5" spans="1:15" x14ac:dyDescent="0.2">
      <c r="A5">
        <v>4</v>
      </c>
      <c r="B5" t="s">
        <v>3</v>
      </c>
      <c r="C5">
        <v>960</v>
      </c>
      <c r="D5">
        <v>315.94200000000001</v>
      </c>
      <c r="E5">
        <v>303303.99400000001</v>
      </c>
      <c r="F5">
        <v>294.10000000000002</v>
      </c>
      <c r="G5">
        <v>303303.99400000001</v>
      </c>
      <c r="H5">
        <v>1</v>
      </c>
      <c r="I5">
        <v>118.994</v>
      </c>
      <c r="J5" t="s">
        <v>27</v>
      </c>
      <c r="K5" t="s">
        <v>33</v>
      </c>
      <c r="L5" t="s">
        <v>34</v>
      </c>
      <c r="M5">
        <f t="shared" si="0"/>
        <v>24.039191919191918</v>
      </c>
      <c r="N5">
        <f t="shared" si="1"/>
        <v>40451.547773755679</v>
      </c>
      <c r="O5">
        <f t="shared" si="2"/>
        <v>1682.7332594928369</v>
      </c>
    </row>
    <row r="6" spans="1:15" x14ac:dyDescent="0.2">
      <c r="A6">
        <v>5</v>
      </c>
      <c r="B6" t="s">
        <v>4</v>
      </c>
      <c r="C6">
        <v>824</v>
      </c>
      <c r="D6">
        <v>295.87599999999998</v>
      </c>
      <c r="E6">
        <v>243801.76300000001</v>
      </c>
      <c r="F6">
        <v>290.40199999999999</v>
      </c>
      <c r="G6">
        <v>243801.76300000001</v>
      </c>
      <c r="H6">
        <v>1</v>
      </c>
      <c r="I6">
        <v>101.991</v>
      </c>
      <c r="J6" t="s">
        <v>28</v>
      </c>
      <c r="K6" t="s">
        <v>33</v>
      </c>
      <c r="L6" t="s">
        <v>34</v>
      </c>
      <c r="M6">
        <f t="shared" si="0"/>
        <v>20.604242424242422</v>
      </c>
      <c r="N6">
        <f t="shared" si="1"/>
        <v>18186.746655806957</v>
      </c>
      <c r="O6">
        <f t="shared" si="2"/>
        <v>882.66999976708189</v>
      </c>
    </row>
    <row r="7" spans="1:15" x14ac:dyDescent="0.2">
      <c r="A7">
        <v>6</v>
      </c>
      <c r="B7" t="s">
        <v>5</v>
      </c>
      <c r="C7">
        <v>792</v>
      </c>
      <c r="D7">
        <v>288.58199999999999</v>
      </c>
      <c r="E7">
        <v>228556.579</v>
      </c>
      <c r="F7">
        <v>279.75599999999997</v>
      </c>
      <c r="G7">
        <v>228556.579</v>
      </c>
      <c r="H7">
        <v>1</v>
      </c>
      <c r="I7">
        <v>97.994</v>
      </c>
      <c r="J7" t="s">
        <v>29</v>
      </c>
      <c r="K7" t="s">
        <v>33</v>
      </c>
      <c r="L7" t="s">
        <v>34</v>
      </c>
      <c r="M7">
        <f t="shared" si="0"/>
        <v>19.796767676767676</v>
      </c>
      <c r="N7">
        <f t="shared" si="1"/>
        <v>11703.310863348423</v>
      </c>
      <c r="O7">
        <f t="shared" si="2"/>
        <v>591.17281439245971</v>
      </c>
    </row>
    <row r="8" spans="1:15" x14ac:dyDescent="0.2">
      <c r="A8">
        <v>7</v>
      </c>
      <c r="B8" t="s">
        <v>6</v>
      </c>
      <c r="C8">
        <v>856</v>
      </c>
      <c r="D8">
        <v>307.32100000000003</v>
      </c>
      <c r="E8">
        <v>263066.571</v>
      </c>
      <c r="F8">
        <v>299.52999999999997</v>
      </c>
      <c r="G8">
        <v>263066.571</v>
      </c>
      <c r="H8">
        <v>1</v>
      </c>
      <c r="I8">
        <v>105.979</v>
      </c>
      <c r="J8" t="s">
        <v>30</v>
      </c>
      <c r="K8" t="s">
        <v>33</v>
      </c>
      <c r="L8" t="s">
        <v>34</v>
      </c>
      <c r="M8">
        <f t="shared" si="0"/>
        <v>21.409898989898988</v>
      </c>
      <c r="N8">
        <f t="shared" si="1"/>
        <v>28689.806448265444</v>
      </c>
      <c r="O8">
        <f t="shared" si="2"/>
        <v>1340.0253061353094</v>
      </c>
    </row>
    <row r="9" spans="1:15" x14ac:dyDescent="0.2">
      <c r="A9">
        <v>8</v>
      </c>
      <c r="B9" t="s">
        <v>7</v>
      </c>
      <c r="C9">
        <v>1040</v>
      </c>
      <c r="D9">
        <v>274.04899999999998</v>
      </c>
      <c r="E9">
        <v>285011.00699999998</v>
      </c>
      <c r="F9">
        <v>274.03199999999998</v>
      </c>
      <c r="G9">
        <v>285011.00699999998</v>
      </c>
      <c r="H9">
        <v>1</v>
      </c>
      <c r="I9">
        <v>129</v>
      </c>
      <c r="J9" t="s">
        <v>32</v>
      </c>
      <c r="K9" t="s">
        <v>33</v>
      </c>
      <c r="L9" t="s">
        <v>34</v>
      </c>
    </row>
    <row r="10" spans="1:15" x14ac:dyDescent="0.2">
      <c r="A10">
        <v>9</v>
      </c>
      <c r="B10" t="s">
        <v>8</v>
      </c>
      <c r="C10">
        <v>816</v>
      </c>
      <c r="D10">
        <v>273.42200000000003</v>
      </c>
      <c r="E10">
        <v>223111.98</v>
      </c>
      <c r="F10">
        <v>273.37900000000002</v>
      </c>
      <c r="G10">
        <v>223111.98</v>
      </c>
      <c r="H10">
        <v>1</v>
      </c>
      <c r="I10">
        <v>101</v>
      </c>
      <c r="J10" t="s">
        <v>32</v>
      </c>
      <c r="K10" t="s">
        <v>33</v>
      </c>
      <c r="L10" t="s">
        <v>34</v>
      </c>
    </row>
    <row r="11" spans="1:15" x14ac:dyDescent="0.2">
      <c r="A11">
        <v>10</v>
      </c>
      <c r="B11" t="s">
        <v>9</v>
      </c>
      <c r="C11">
        <v>816</v>
      </c>
      <c r="D11">
        <v>273.94299999999998</v>
      </c>
      <c r="E11">
        <v>223537.73699999999</v>
      </c>
      <c r="F11">
        <v>273.97000000000003</v>
      </c>
      <c r="G11">
        <v>223537.73699999999</v>
      </c>
      <c r="H11">
        <v>1</v>
      </c>
      <c r="I11">
        <v>101</v>
      </c>
      <c r="J11" t="s">
        <v>32</v>
      </c>
      <c r="K11" t="s">
        <v>33</v>
      </c>
      <c r="L11" t="s">
        <v>34</v>
      </c>
    </row>
    <row r="12" spans="1:15" x14ac:dyDescent="0.2">
      <c r="A12">
        <v>1</v>
      </c>
      <c r="B12" t="s">
        <v>35</v>
      </c>
      <c r="C12">
        <v>872</v>
      </c>
      <c r="D12">
        <v>312.80200000000002</v>
      </c>
      <c r="E12">
        <v>272763.38</v>
      </c>
      <c r="F12">
        <v>293.68200000000002</v>
      </c>
      <c r="G12">
        <v>272763.38</v>
      </c>
      <c r="H12">
        <v>1</v>
      </c>
      <c r="I12">
        <v>107.97799999999999</v>
      </c>
      <c r="J12" t="s">
        <v>31</v>
      </c>
      <c r="K12" t="s">
        <v>33</v>
      </c>
      <c r="L12" t="s">
        <v>34</v>
      </c>
      <c r="M12">
        <f t="shared" ref="M12:M19" si="3">I12/4.95</f>
        <v>21.813737373737371</v>
      </c>
      <c r="N12">
        <f>G12-(((G$20/C$20*C12)+(G$21/C$21*C12)+(G$22/C$22*C12))/3)</f>
        <v>34297.930346906855</v>
      </c>
      <c r="O12">
        <f>N12/M12</f>
        <v>1572.3087593508765</v>
      </c>
    </row>
    <row r="13" spans="1:15" x14ac:dyDescent="0.2">
      <c r="A13">
        <v>2</v>
      </c>
      <c r="B13" t="s">
        <v>36</v>
      </c>
      <c r="C13">
        <v>832</v>
      </c>
      <c r="D13">
        <v>291.83600000000001</v>
      </c>
      <c r="E13">
        <v>242807.80900000001</v>
      </c>
      <c r="F13">
        <v>284.20699999999999</v>
      </c>
      <c r="G13">
        <v>242807.80900000001</v>
      </c>
      <c r="H13">
        <v>1</v>
      </c>
      <c r="I13">
        <v>102.99299999999999</v>
      </c>
      <c r="J13" t="s">
        <v>46</v>
      </c>
      <c r="K13" t="s">
        <v>33</v>
      </c>
      <c r="L13" t="s">
        <v>34</v>
      </c>
      <c r="M13">
        <f t="shared" si="3"/>
        <v>20.806666666666665</v>
      </c>
      <c r="N13">
        <f t="shared" ref="N13:N19" si="4">G13-(((G$20/C$20*C13)+(G$21/C$21*C13)+(G$22/C$22*C13))/3)</f>
        <v>15281.141441085405</v>
      </c>
      <c r="O13">
        <f t="shared" ref="O13:O19" si="5">N13/M13</f>
        <v>734.43486580032391</v>
      </c>
    </row>
    <row r="14" spans="1:15" x14ac:dyDescent="0.2">
      <c r="A14">
        <v>3</v>
      </c>
      <c r="B14" t="s">
        <v>37</v>
      </c>
      <c r="C14">
        <v>872</v>
      </c>
      <c r="D14">
        <v>329.54899999999998</v>
      </c>
      <c r="E14">
        <v>287366.32199999999</v>
      </c>
      <c r="F14">
        <v>310.21899999999999</v>
      </c>
      <c r="G14">
        <v>287366.32199999999</v>
      </c>
      <c r="H14">
        <v>1</v>
      </c>
      <c r="I14">
        <v>107.99299999999999</v>
      </c>
      <c r="J14" t="s">
        <v>47</v>
      </c>
      <c r="K14" t="s">
        <v>33</v>
      </c>
      <c r="L14" t="s">
        <v>34</v>
      </c>
      <c r="M14">
        <f t="shared" si="3"/>
        <v>21.816767676767675</v>
      </c>
      <c r="N14">
        <f t="shared" si="4"/>
        <v>48900.872346906835</v>
      </c>
      <c r="O14">
        <f t="shared" si="5"/>
        <v>2241.4352607779101</v>
      </c>
    </row>
    <row r="15" spans="1:15" x14ac:dyDescent="0.2">
      <c r="A15">
        <v>4</v>
      </c>
      <c r="B15" t="s">
        <v>38</v>
      </c>
      <c r="C15">
        <v>1232</v>
      </c>
      <c r="D15">
        <v>429.47</v>
      </c>
      <c r="E15">
        <v>529107.50399999996</v>
      </c>
      <c r="F15">
        <v>367.88</v>
      </c>
      <c r="G15">
        <v>529107.50399999996</v>
      </c>
      <c r="H15">
        <v>1</v>
      </c>
      <c r="I15">
        <v>152.976</v>
      </c>
      <c r="J15" t="s">
        <v>48</v>
      </c>
      <c r="K15" t="s">
        <v>33</v>
      </c>
      <c r="L15" t="s">
        <v>34</v>
      </c>
      <c r="M15">
        <f t="shared" si="3"/>
        <v>30.904242424242423</v>
      </c>
      <c r="N15">
        <f t="shared" si="4"/>
        <v>192193.01549929951</v>
      </c>
      <c r="O15">
        <f t="shared" si="5"/>
        <v>6218.9848520129472</v>
      </c>
    </row>
    <row r="16" spans="1:15" x14ac:dyDescent="0.2">
      <c r="A16">
        <v>5</v>
      </c>
      <c r="B16" t="s">
        <v>39</v>
      </c>
      <c r="C16">
        <v>848</v>
      </c>
      <c r="D16">
        <v>303.13600000000002</v>
      </c>
      <c r="E16">
        <v>257059.321</v>
      </c>
      <c r="F16">
        <v>294.29899999999998</v>
      </c>
      <c r="G16">
        <v>257059.321</v>
      </c>
      <c r="H16">
        <v>1</v>
      </c>
      <c r="I16">
        <v>104.998</v>
      </c>
      <c r="J16" t="s">
        <v>49</v>
      </c>
      <c r="K16" t="s">
        <v>33</v>
      </c>
      <c r="L16" t="s">
        <v>34</v>
      </c>
      <c r="M16">
        <f t="shared" si="3"/>
        <v>21.211717171717172</v>
      </c>
      <c r="N16">
        <f t="shared" si="4"/>
        <v>25157.140603414009</v>
      </c>
      <c r="O16">
        <f t="shared" si="5"/>
        <v>1186.0020761052529</v>
      </c>
    </row>
    <row r="17" spans="1:15" x14ac:dyDescent="0.2">
      <c r="A17">
        <v>6</v>
      </c>
      <c r="B17" t="s">
        <v>40</v>
      </c>
      <c r="C17">
        <v>1120</v>
      </c>
      <c r="D17">
        <v>419.60300000000001</v>
      </c>
      <c r="E17">
        <v>469955.266</v>
      </c>
      <c r="F17">
        <v>375.53100000000001</v>
      </c>
      <c r="G17">
        <v>469955.266</v>
      </c>
      <c r="H17">
        <v>1</v>
      </c>
      <c r="I17">
        <v>138.97800000000001</v>
      </c>
      <c r="J17" t="s">
        <v>50</v>
      </c>
      <c r="K17" t="s">
        <v>33</v>
      </c>
      <c r="L17" t="s">
        <v>34</v>
      </c>
      <c r="M17">
        <f t="shared" si="3"/>
        <v>28.076363636363638</v>
      </c>
      <c r="N17">
        <f t="shared" si="4"/>
        <v>163669.36736299959</v>
      </c>
      <c r="O17">
        <f t="shared" si="5"/>
        <v>5829.4360866241268</v>
      </c>
    </row>
    <row r="18" spans="1:15" x14ac:dyDescent="0.2">
      <c r="A18">
        <v>7</v>
      </c>
      <c r="B18" t="s">
        <v>41</v>
      </c>
      <c r="C18">
        <v>944</v>
      </c>
      <c r="D18">
        <v>354.33300000000003</v>
      </c>
      <c r="E18">
        <v>334490.69</v>
      </c>
      <c r="F18">
        <v>328.608</v>
      </c>
      <c r="G18">
        <v>334490.69</v>
      </c>
      <c r="H18">
        <v>1</v>
      </c>
      <c r="I18">
        <v>116.96599999999999</v>
      </c>
      <c r="J18" t="s">
        <v>51</v>
      </c>
      <c r="K18" t="s">
        <v>33</v>
      </c>
      <c r="L18" t="s">
        <v>34</v>
      </c>
      <c r="M18">
        <f t="shared" si="3"/>
        <v>23.629494949494948</v>
      </c>
      <c r="N18">
        <f t="shared" si="4"/>
        <v>76335.432577385393</v>
      </c>
      <c r="O18">
        <f t="shared" si="5"/>
        <v>3230.5147757301929</v>
      </c>
    </row>
    <row r="19" spans="1:15" x14ac:dyDescent="0.2">
      <c r="A19">
        <v>8</v>
      </c>
      <c r="B19" t="s">
        <v>42</v>
      </c>
      <c r="C19">
        <v>976</v>
      </c>
      <c r="D19">
        <v>329.54199999999997</v>
      </c>
      <c r="E19">
        <v>321632.77799999999</v>
      </c>
      <c r="F19">
        <v>314.09899999999999</v>
      </c>
      <c r="G19">
        <v>321632.77799999999</v>
      </c>
      <c r="H19">
        <v>1</v>
      </c>
      <c r="I19">
        <v>120.976</v>
      </c>
      <c r="J19" t="s">
        <v>52</v>
      </c>
      <c r="K19" t="s">
        <v>33</v>
      </c>
      <c r="L19" t="s">
        <v>34</v>
      </c>
      <c r="M19">
        <f t="shared" si="3"/>
        <v>24.439595959595959</v>
      </c>
      <c r="N19">
        <f t="shared" si="4"/>
        <v>54726.494902042497</v>
      </c>
      <c r="O19">
        <f t="shared" si="5"/>
        <v>2239.2553048960981</v>
      </c>
    </row>
    <row r="20" spans="1:15" x14ac:dyDescent="0.2">
      <c r="A20">
        <v>9</v>
      </c>
      <c r="B20" t="s">
        <v>43</v>
      </c>
      <c r="C20">
        <v>888</v>
      </c>
      <c r="D20">
        <v>272.93099999999998</v>
      </c>
      <c r="E20">
        <v>242362.77799999999</v>
      </c>
      <c r="F20">
        <v>272.90199999999999</v>
      </c>
      <c r="G20">
        <v>242362.77799999999</v>
      </c>
      <c r="H20">
        <v>1</v>
      </c>
      <c r="I20">
        <v>110</v>
      </c>
      <c r="J20" t="s">
        <v>32</v>
      </c>
      <c r="K20" t="s">
        <v>33</v>
      </c>
      <c r="L20" t="s">
        <v>34</v>
      </c>
    </row>
    <row r="21" spans="1:15" x14ac:dyDescent="0.2">
      <c r="A21">
        <v>10</v>
      </c>
      <c r="B21" t="s">
        <v>44</v>
      </c>
      <c r="C21">
        <v>896</v>
      </c>
      <c r="D21">
        <v>273.50900000000001</v>
      </c>
      <c r="E21">
        <v>245063.973</v>
      </c>
      <c r="F21">
        <v>273.53100000000001</v>
      </c>
      <c r="G21">
        <v>245063.973</v>
      </c>
      <c r="H21">
        <v>1</v>
      </c>
      <c r="I21">
        <v>111</v>
      </c>
      <c r="J21" t="s">
        <v>32</v>
      </c>
      <c r="K21" t="s">
        <v>33</v>
      </c>
      <c r="L21" t="s">
        <v>34</v>
      </c>
    </row>
    <row r="22" spans="1:15" x14ac:dyDescent="0.2">
      <c r="A22">
        <v>11</v>
      </c>
      <c r="B22" t="s">
        <v>45</v>
      </c>
      <c r="C22">
        <v>776</v>
      </c>
      <c r="D22">
        <v>273.96899999999999</v>
      </c>
      <c r="E22">
        <v>212599.71299999999</v>
      </c>
      <c r="F22">
        <v>273.995</v>
      </c>
      <c r="G22">
        <v>212599.71299999999</v>
      </c>
      <c r="H22">
        <v>1</v>
      </c>
      <c r="I22">
        <v>96</v>
      </c>
      <c r="J22" t="s">
        <v>32</v>
      </c>
      <c r="K22" t="s">
        <v>33</v>
      </c>
      <c r="L22" t="s">
        <v>34</v>
      </c>
    </row>
    <row r="23" spans="1:15" x14ac:dyDescent="0.2">
      <c r="A23">
        <v>1</v>
      </c>
      <c r="B23" t="s">
        <v>60</v>
      </c>
      <c r="C23">
        <v>1024</v>
      </c>
      <c r="D23">
        <v>363.93</v>
      </c>
      <c r="E23">
        <v>372664.49300000002</v>
      </c>
      <c r="F23">
        <v>321.52999999999997</v>
      </c>
      <c r="G23">
        <v>372664.49300000002</v>
      </c>
      <c r="H23">
        <v>1</v>
      </c>
      <c r="I23">
        <v>126.983</v>
      </c>
      <c r="J23" t="s">
        <v>53</v>
      </c>
      <c r="K23" t="s">
        <v>33</v>
      </c>
      <c r="L23" t="s">
        <v>34</v>
      </c>
      <c r="M23">
        <f t="shared" ref="M23" si="6">I23/4.95</f>
        <v>25.653131313131315</v>
      </c>
      <c r="N23">
        <f>G23-(((G$30/C$30*C23)+(G$31/C$31*C23)+(G$32/C$32*C23))/3)</f>
        <v>91423.501883314631</v>
      </c>
      <c r="O23">
        <f>N23/M23</f>
        <v>3563.834011815813</v>
      </c>
    </row>
    <row r="24" spans="1:15" x14ac:dyDescent="0.2">
      <c r="A24">
        <v>2</v>
      </c>
      <c r="B24" t="s">
        <v>61</v>
      </c>
      <c r="C24">
        <v>1008</v>
      </c>
      <c r="D24">
        <v>368.68599999999998</v>
      </c>
      <c r="E24">
        <v>371635.74400000001</v>
      </c>
      <c r="F24">
        <v>325.33800000000002</v>
      </c>
      <c r="G24">
        <v>371635.74400000001</v>
      </c>
      <c r="H24">
        <v>1</v>
      </c>
      <c r="I24">
        <v>124.976</v>
      </c>
      <c r="J24" t="s">
        <v>54</v>
      </c>
      <c r="K24" t="s">
        <v>33</v>
      </c>
      <c r="L24" t="s">
        <v>34</v>
      </c>
      <c r="M24">
        <f t="shared" ref="M24:M29" si="7">I24/4.95</f>
        <v>25.247676767676765</v>
      </c>
      <c r="N24">
        <f t="shared" ref="N24:N29" si="8">G24-(((G$30/C$30*C24)+(G$31/C$31*C24)+(G$32/C$32*C24))/3)</f>
        <v>94789.143369512865</v>
      </c>
      <c r="O24">
        <f t="shared" ref="O24:O29" si="9">N24/M24</f>
        <v>3754.3709166487065</v>
      </c>
    </row>
    <row r="25" spans="1:15" x14ac:dyDescent="0.2">
      <c r="A25">
        <v>3</v>
      </c>
      <c r="B25" t="s">
        <v>62</v>
      </c>
      <c r="C25">
        <v>1112</v>
      </c>
      <c r="D25">
        <v>424.79399999999998</v>
      </c>
      <c r="E25">
        <v>472370.723</v>
      </c>
      <c r="F25">
        <v>357.48899999999998</v>
      </c>
      <c r="G25">
        <v>472370.723</v>
      </c>
      <c r="H25">
        <v>1</v>
      </c>
      <c r="I25">
        <v>137.982</v>
      </c>
      <c r="J25" t="s">
        <v>55</v>
      </c>
      <c r="K25" t="s">
        <v>33</v>
      </c>
      <c r="L25" t="s">
        <v>34</v>
      </c>
      <c r="M25">
        <f t="shared" si="7"/>
        <v>27.875151515151515</v>
      </c>
      <c r="N25">
        <f t="shared" si="8"/>
        <v>166960.58420922444</v>
      </c>
      <c r="O25">
        <f t="shared" si="9"/>
        <v>5989.5848142196883</v>
      </c>
    </row>
    <row r="26" spans="1:15" x14ac:dyDescent="0.2">
      <c r="A26">
        <v>4</v>
      </c>
      <c r="B26" t="s">
        <v>63</v>
      </c>
      <c r="C26">
        <v>1136</v>
      </c>
      <c r="D26">
        <v>396.58</v>
      </c>
      <c r="E26">
        <v>450514.67300000001</v>
      </c>
      <c r="F26">
        <v>353.88900000000001</v>
      </c>
      <c r="G26">
        <v>450514.67300000001</v>
      </c>
      <c r="H26">
        <v>1</v>
      </c>
      <c r="I26">
        <v>140.97399999999999</v>
      </c>
      <c r="J26" t="s">
        <v>56</v>
      </c>
      <c r="K26" t="s">
        <v>33</v>
      </c>
      <c r="L26" t="s">
        <v>34</v>
      </c>
      <c r="M26">
        <f t="shared" si="7"/>
        <v>28.479595959595958</v>
      </c>
      <c r="N26">
        <f t="shared" si="8"/>
        <v>138512.94847992714</v>
      </c>
      <c r="O26">
        <f t="shared" si="9"/>
        <v>4863.5854482077502</v>
      </c>
    </row>
    <row r="27" spans="1:15" x14ac:dyDescent="0.2">
      <c r="A27">
        <v>5</v>
      </c>
      <c r="B27" t="s">
        <v>64</v>
      </c>
      <c r="C27">
        <v>920</v>
      </c>
      <c r="D27">
        <v>336.709</v>
      </c>
      <c r="E27">
        <v>309772.51699999999</v>
      </c>
      <c r="F27">
        <v>313.81700000000001</v>
      </c>
      <c r="G27">
        <v>309772.51699999999</v>
      </c>
      <c r="H27">
        <v>1</v>
      </c>
      <c r="I27">
        <v>113.995</v>
      </c>
      <c r="J27" t="s">
        <v>57</v>
      </c>
      <c r="K27" t="s">
        <v>33</v>
      </c>
      <c r="L27" t="s">
        <v>34</v>
      </c>
      <c r="M27">
        <f t="shared" si="7"/>
        <v>23.029292929292929</v>
      </c>
      <c r="N27">
        <f t="shared" si="8"/>
        <v>57095.064043602993</v>
      </c>
      <c r="O27">
        <f t="shared" si="9"/>
        <v>2479.2365192844845</v>
      </c>
    </row>
    <row r="28" spans="1:15" x14ac:dyDescent="0.2">
      <c r="A28">
        <v>6</v>
      </c>
      <c r="B28" t="s">
        <v>65</v>
      </c>
      <c r="C28">
        <v>1104</v>
      </c>
      <c r="D28">
        <v>373.452</v>
      </c>
      <c r="E28">
        <v>412290.89299999998</v>
      </c>
      <c r="F28">
        <v>335.21199999999999</v>
      </c>
      <c r="G28">
        <v>412290.89299999998</v>
      </c>
      <c r="H28">
        <v>1</v>
      </c>
      <c r="I28">
        <v>136.97800000000001</v>
      </c>
      <c r="J28" t="s">
        <v>58</v>
      </c>
      <c r="K28" t="s">
        <v>33</v>
      </c>
      <c r="L28" t="s">
        <v>34</v>
      </c>
      <c r="M28">
        <f t="shared" si="7"/>
        <v>27.672323232323233</v>
      </c>
      <c r="N28">
        <f t="shared" si="8"/>
        <v>109077.94945232355</v>
      </c>
      <c r="O28">
        <f t="shared" si="9"/>
        <v>3941.7705747565415</v>
      </c>
    </row>
    <row r="29" spans="1:15" x14ac:dyDescent="0.2">
      <c r="A29">
        <v>7</v>
      </c>
      <c r="B29" t="s">
        <v>66</v>
      </c>
      <c r="C29">
        <v>1104</v>
      </c>
      <c r="D29">
        <v>389.14499999999998</v>
      </c>
      <c r="E29">
        <v>429616.54200000002</v>
      </c>
      <c r="F29">
        <v>341.601</v>
      </c>
      <c r="G29">
        <v>429616.54200000002</v>
      </c>
      <c r="H29">
        <v>1</v>
      </c>
      <c r="I29">
        <v>136.98699999999999</v>
      </c>
      <c r="J29" t="s">
        <v>59</v>
      </c>
      <c r="K29" t="s">
        <v>33</v>
      </c>
      <c r="L29" t="s">
        <v>34</v>
      </c>
      <c r="M29">
        <f t="shared" si="7"/>
        <v>27.674141414141413</v>
      </c>
      <c r="N29">
        <f t="shared" si="8"/>
        <v>126403.59845232358</v>
      </c>
      <c r="O29">
        <f t="shared" si="9"/>
        <v>4567.5707354639617</v>
      </c>
    </row>
    <row r="30" spans="1:15" x14ac:dyDescent="0.2">
      <c r="A30">
        <v>8</v>
      </c>
      <c r="B30" t="s">
        <v>67</v>
      </c>
      <c r="C30">
        <v>1032</v>
      </c>
      <c r="D30">
        <v>275.82299999999998</v>
      </c>
      <c r="E30">
        <v>284649.63500000001</v>
      </c>
      <c r="F30">
        <v>275.83800000000002</v>
      </c>
      <c r="G30">
        <v>284649.63500000001</v>
      </c>
      <c r="H30">
        <v>1</v>
      </c>
      <c r="I30">
        <v>128</v>
      </c>
      <c r="J30" t="s">
        <v>32</v>
      </c>
      <c r="K30" t="s">
        <v>33</v>
      </c>
      <c r="L30" t="s">
        <v>34</v>
      </c>
    </row>
    <row r="31" spans="1:15" x14ac:dyDescent="0.2">
      <c r="A31">
        <v>9</v>
      </c>
      <c r="B31" t="s">
        <v>68</v>
      </c>
      <c r="C31">
        <v>968</v>
      </c>
      <c r="D31">
        <v>274.18799999999999</v>
      </c>
      <c r="E31">
        <v>265413.674</v>
      </c>
      <c r="F31">
        <v>274.20999999999998</v>
      </c>
      <c r="G31">
        <v>265413.674</v>
      </c>
      <c r="H31">
        <v>1</v>
      </c>
      <c r="I31">
        <v>120</v>
      </c>
      <c r="J31" t="s">
        <v>32</v>
      </c>
      <c r="K31" t="s">
        <v>33</v>
      </c>
      <c r="L31" t="s">
        <v>34</v>
      </c>
    </row>
    <row r="32" spans="1:15" x14ac:dyDescent="0.2">
      <c r="A32">
        <v>10</v>
      </c>
      <c r="B32" t="s">
        <v>69</v>
      </c>
      <c r="C32">
        <v>904</v>
      </c>
      <c r="D32">
        <v>273.93700000000001</v>
      </c>
      <c r="E32">
        <v>247639.27100000001</v>
      </c>
      <c r="F32">
        <v>273.86599999999999</v>
      </c>
      <c r="G32">
        <v>247639.27100000001</v>
      </c>
      <c r="H32">
        <v>1</v>
      </c>
      <c r="I32">
        <v>112</v>
      </c>
      <c r="J32" t="s">
        <v>32</v>
      </c>
      <c r="K32" t="s">
        <v>33</v>
      </c>
      <c r="L32" t="s">
        <v>34</v>
      </c>
    </row>
    <row r="33" spans="1:15" x14ac:dyDescent="0.2">
      <c r="A33">
        <v>1</v>
      </c>
      <c r="B33" t="s">
        <v>70</v>
      </c>
      <c r="C33">
        <v>1152</v>
      </c>
      <c r="D33">
        <v>387.69600000000003</v>
      </c>
      <c r="E33">
        <v>446625.47600000002</v>
      </c>
      <c r="F33">
        <v>335.61700000000002</v>
      </c>
      <c r="G33">
        <v>446625.47600000002</v>
      </c>
      <c r="H33">
        <v>1</v>
      </c>
      <c r="I33">
        <v>142.97</v>
      </c>
      <c r="J33" t="s">
        <v>81</v>
      </c>
      <c r="K33" t="s">
        <v>33</v>
      </c>
      <c r="L33" t="s">
        <v>34</v>
      </c>
      <c r="M33">
        <f t="shared" ref="M33" si="10">I33/4.95</f>
        <v>28.882828282828282</v>
      </c>
      <c r="N33">
        <f>G33-(((G$41/C$41*C33)+(G$42/C$42*C33)+(G$43/C$43*C33))/3)</f>
        <v>128129.84539206122</v>
      </c>
      <c r="O33">
        <f>N33/M33</f>
        <v>4436.1945491410997</v>
      </c>
    </row>
    <row r="34" spans="1:15" x14ac:dyDescent="0.2">
      <c r="A34">
        <v>2</v>
      </c>
      <c r="B34" t="s">
        <v>71</v>
      </c>
      <c r="C34">
        <v>1136</v>
      </c>
      <c r="D34">
        <v>411.59699999999998</v>
      </c>
      <c r="E34">
        <v>467573.848</v>
      </c>
      <c r="F34">
        <v>356.97</v>
      </c>
      <c r="G34">
        <v>467573.848</v>
      </c>
      <c r="H34">
        <v>1</v>
      </c>
      <c r="I34">
        <v>140.99700000000001</v>
      </c>
      <c r="J34" t="s">
        <v>82</v>
      </c>
      <c r="K34" t="s">
        <v>33</v>
      </c>
      <c r="L34" t="s">
        <v>34</v>
      </c>
      <c r="M34">
        <f t="shared" ref="M34:M40" si="11">I34/4.95</f>
        <v>28.484242424242424</v>
      </c>
      <c r="N34">
        <f t="shared" ref="N34:N40" si="12">G34-(((G$41/C$41*C34)+(G$42/C$42*C34)+(G$43/C$43*C34))/3)</f>
        <v>153501.76781717147</v>
      </c>
      <c r="O34">
        <f t="shared" ref="O34:O40" si="13">N34/M34</f>
        <v>5389.0065086136492</v>
      </c>
    </row>
    <row r="35" spans="1:15" x14ac:dyDescent="0.2">
      <c r="A35">
        <v>3</v>
      </c>
      <c r="B35" t="s">
        <v>72</v>
      </c>
      <c r="C35">
        <v>1096</v>
      </c>
      <c r="D35">
        <v>418.226</v>
      </c>
      <c r="E35">
        <v>458375.86099999998</v>
      </c>
      <c r="F35">
        <v>365.411</v>
      </c>
      <c r="G35">
        <v>458375.86099999998</v>
      </c>
      <c r="H35">
        <v>1</v>
      </c>
      <c r="I35">
        <v>135.99</v>
      </c>
      <c r="J35" t="s">
        <v>83</v>
      </c>
      <c r="K35" t="s">
        <v>33</v>
      </c>
      <c r="L35" t="s">
        <v>34</v>
      </c>
      <c r="M35">
        <f t="shared" si="11"/>
        <v>27.472727272727273</v>
      </c>
      <c r="N35">
        <f t="shared" si="12"/>
        <v>155362.65687994706</v>
      </c>
      <c r="O35">
        <f t="shared" si="13"/>
        <v>5655.1595819967488</v>
      </c>
    </row>
    <row r="36" spans="1:15" x14ac:dyDescent="0.2">
      <c r="A36">
        <v>4</v>
      </c>
      <c r="B36" t="s">
        <v>73</v>
      </c>
      <c r="C36">
        <v>1120</v>
      </c>
      <c r="D36">
        <v>386.09699999999998</v>
      </c>
      <c r="E36">
        <v>432428.35</v>
      </c>
      <c r="F36">
        <v>348.93799999999999</v>
      </c>
      <c r="G36">
        <v>432428.35</v>
      </c>
      <c r="H36">
        <v>1</v>
      </c>
      <c r="I36">
        <v>138.98400000000001</v>
      </c>
      <c r="J36" t="s">
        <v>84</v>
      </c>
      <c r="K36" t="s">
        <v>33</v>
      </c>
      <c r="L36" t="s">
        <v>34</v>
      </c>
      <c r="M36">
        <f t="shared" si="11"/>
        <v>28.077575757575758</v>
      </c>
      <c r="N36">
        <f t="shared" si="12"/>
        <v>122779.82024228171</v>
      </c>
      <c r="O36">
        <f t="shared" si="13"/>
        <v>4372.8782464117776</v>
      </c>
    </row>
    <row r="37" spans="1:15" x14ac:dyDescent="0.2">
      <c r="A37">
        <v>5</v>
      </c>
      <c r="B37" t="s">
        <v>74</v>
      </c>
      <c r="C37">
        <v>1120</v>
      </c>
      <c r="D37">
        <v>398.76499999999999</v>
      </c>
      <c r="E37">
        <v>446616.51</v>
      </c>
      <c r="F37">
        <v>357.63799999999998</v>
      </c>
      <c r="G37">
        <v>446616.51</v>
      </c>
      <c r="H37">
        <v>1</v>
      </c>
      <c r="I37">
        <v>138.98400000000001</v>
      </c>
      <c r="J37" t="s">
        <v>85</v>
      </c>
      <c r="K37" t="s">
        <v>33</v>
      </c>
      <c r="L37" t="s">
        <v>34</v>
      </c>
      <c r="M37">
        <f t="shared" si="11"/>
        <v>28.077575757575758</v>
      </c>
      <c r="N37">
        <f t="shared" si="12"/>
        <v>136967.98024228174</v>
      </c>
      <c r="O37">
        <f t="shared" si="13"/>
        <v>4878.1982256899691</v>
      </c>
    </row>
    <row r="38" spans="1:15" x14ac:dyDescent="0.2">
      <c r="A38">
        <v>6</v>
      </c>
      <c r="B38" t="s">
        <v>75</v>
      </c>
      <c r="C38">
        <v>1024</v>
      </c>
      <c r="D38">
        <v>351.96600000000001</v>
      </c>
      <c r="E38">
        <v>360412.685</v>
      </c>
      <c r="F38">
        <v>324.471</v>
      </c>
      <c r="G38">
        <v>360412.685</v>
      </c>
      <c r="H38">
        <v>1</v>
      </c>
      <c r="I38">
        <v>126.986</v>
      </c>
      <c r="J38" t="s">
        <v>86</v>
      </c>
      <c r="K38" t="s">
        <v>33</v>
      </c>
      <c r="L38" t="s">
        <v>34</v>
      </c>
      <c r="M38">
        <f t="shared" si="11"/>
        <v>25.653737373737375</v>
      </c>
      <c r="N38">
        <f t="shared" si="12"/>
        <v>77305.457792943285</v>
      </c>
      <c r="O38">
        <f t="shared" si="13"/>
        <v>3013.4189286619726</v>
      </c>
    </row>
    <row r="39" spans="1:15" x14ac:dyDescent="0.2">
      <c r="A39">
        <v>7</v>
      </c>
      <c r="B39" t="s">
        <v>76</v>
      </c>
      <c r="C39">
        <v>1080</v>
      </c>
      <c r="D39">
        <v>414.77499999999998</v>
      </c>
      <c r="E39">
        <v>447956.74800000002</v>
      </c>
      <c r="F39">
        <v>362.375</v>
      </c>
      <c r="G39">
        <v>447956.74800000002</v>
      </c>
      <c r="H39">
        <v>1</v>
      </c>
      <c r="I39">
        <v>133.98699999999999</v>
      </c>
      <c r="J39" t="s">
        <v>87</v>
      </c>
      <c r="K39" t="s">
        <v>33</v>
      </c>
      <c r="L39" t="s">
        <v>34</v>
      </c>
      <c r="M39">
        <f t="shared" si="11"/>
        <v>27.068080808080808</v>
      </c>
      <c r="N39">
        <f t="shared" si="12"/>
        <v>149367.09430505743</v>
      </c>
      <c r="O39">
        <f t="shared" si="13"/>
        <v>5518.2003986210175</v>
      </c>
    </row>
    <row r="40" spans="1:15" x14ac:dyDescent="0.2">
      <c r="A40">
        <v>8</v>
      </c>
      <c r="B40" t="s">
        <v>77</v>
      </c>
      <c r="C40">
        <v>1056</v>
      </c>
      <c r="D40">
        <v>403.64800000000002</v>
      </c>
      <c r="E40">
        <v>426252.12099999998</v>
      </c>
      <c r="F40">
        <v>370.62599999999998</v>
      </c>
      <c r="G40">
        <v>426252.12099999998</v>
      </c>
      <c r="H40">
        <v>1</v>
      </c>
      <c r="I40">
        <v>130.946</v>
      </c>
      <c r="J40" t="s">
        <v>88</v>
      </c>
      <c r="K40" t="s">
        <v>33</v>
      </c>
      <c r="L40" t="s">
        <v>34</v>
      </c>
      <c r="M40">
        <f t="shared" si="11"/>
        <v>26.453737373737372</v>
      </c>
      <c r="N40">
        <f t="shared" si="12"/>
        <v>134297.79294272274</v>
      </c>
      <c r="O40">
        <f t="shared" si="13"/>
        <v>5076.7039471727094</v>
      </c>
    </row>
    <row r="41" spans="1:15" x14ac:dyDescent="0.2">
      <c r="A41">
        <v>9</v>
      </c>
      <c r="B41" t="s">
        <v>78</v>
      </c>
      <c r="C41">
        <v>1048</v>
      </c>
      <c r="D41">
        <v>277.63099999999997</v>
      </c>
      <c r="E41">
        <v>290957.158</v>
      </c>
      <c r="F41">
        <v>277.54199999999997</v>
      </c>
      <c r="G41">
        <v>290957.158</v>
      </c>
      <c r="H41">
        <v>1</v>
      </c>
      <c r="I41">
        <v>130</v>
      </c>
      <c r="J41" t="s">
        <v>32</v>
      </c>
      <c r="K41" t="s">
        <v>33</v>
      </c>
      <c r="L41" t="s">
        <v>34</v>
      </c>
    </row>
    <row r="42" spans="1:15" x14ac:dyDescent="0.2">
      <c r="A42">
        <v>10</v>
      </c>
      <c r="B42" t="s">
        <v>79</v>
      </c>
      <c r="C42">
        <v>1136</v>
      </c>
      <c r="D42">
        <v>276.45800000000003</v>
      </c>
      <c r="E42">
        <v>314056.60100000002</v>
      </c>
      <c r="F42">
        <v>276.428</v>
      </c>
      <c r="G42">
        <v>314056.60100000002</v>
      </c>
      <c r="H42">
        <v>1</v>
      </c>
      <c r="I42">
        <v>141</v>
      </c>
      <c r="J42" t="s">
        <v>32</v>
      </c>
      <c r="K42" t="s">
        <v>33</v>
      </c>
      <c r="L42" t="s">
        <v>34</v>
      </c>
    </row>
    <row r="43" spans="1:15" x14ac:dyDescent="0.2">
      <c r="A43">
        <v>11</v>
      </c>
      <c r="B43" t="s">
        <v>80</v>
      </c>
      <c r="C43">
        <v>1240</v>
      </c>
      <c r="D43">
        <v>275.327</v>
      </c>
      <c r="E43">
        <v>341404.92599999998</v>
      </c>
      <c r="F43">
        <v>275.31099999999998</v>
      </c>
      <c r="G43">
        <v>341404.92599999998</v>
      </c>
      <c r="H43">
        <v>1</v>
      </c>
      <c r="I43">
        <v>154</v>
      </c>
      <c r="J43" t="s">
        <v>32</v>
      </c>
      <c r="K43" t="s">
        <v>33</v>
      </c>
      <c r="L4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2022-08-05T10:03:51Z</dcterms:created>
  <dcterms:modified xsi:type="dcterms:W3CDTF">2024-02-07T14:31:07Z</dcterms:modified>
</cp:coreProperties>
</file>