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8" i="1" l="1"/>
  <c r="N252" i="1"/>
  <c r="N251" i="1"/>
  <c r="N250" i="1"/>
  <c r="N249" i="1"/>
  <c r="N248" i="1"/>
  <c r="L251" i="1"/>
  <c r="L252" i="1"/>
  <c r="N239" i="1"/>
  <c r="N238" i="1"/>
  <c r="N237" i="1"/>
  <c r="N236" i="1"/>
  <c r="N235" i="1"/>
  <c r="N234" i="1"/>
  <c r="N233" i="1"/>
  <c r="L238" i="1"/>
  <c r="O238" i="1" s="1"/>
  <c r="L239" i="1"/>
  <c r="N226" i="1"/>
  <c r="N224" i="1"/>
  <c r="N223" i="1"/>
  <c r="N222" i="1"/>
  <c r="N221" i="1"/>
  <c r="N220" i="1"/>
  <c r="N219" i="1"/>
  <c r="N217" i="1"/>
  <c r="L225" i="1"/>
  <c r="N225" i="1"/>
  <c r="L226" i="1"/>
  <c r="N213" i="1"/>
  <c r="N212" i="1"/>
  <c r="N211" i="1"/>
  <c r="N210" i="1"/>
  <c r="N209" i="1"/>
  <c r="L212" i="1"/>
  <c r="L213" i="1"/>
  <c r="N206" i="1"/>
  <c r="N205" i="1"/>
  <c r="N204" i="1"/>
  <c r="O251" i="1" l="1"/>
  <c r="O212" i="1"/>
  <c r="O213" i="1"/>
  <c r="O252" i="1"/>
  <c r="O226" i="1"/>
  <c r="O225" i="1"/>
  <c r="O239" i="1"/>
  <c r="N192" i="1"/>
  <c r="N191" i="1"/>
  <c r="N166" i="1"/>
  <c r="N165" i="1"/>
  <c r="L2" i="1"/>
  <c r="L152" i="1"/>
  <c r="L199" i="1"/>
  <c r="N199" i="1"/>
  <c r="L200" i="1"/>
  <c r="N200" i="1"/>
  <c r="L186" i="1"/>
  <c r="N186" i="1"/>
  <c r="L187" i="1"/>
  <c r="N187" i="1"/>
  <c r="N167" i="1"/>
  <c r="N168" i="1"/>
  <c r="N169" i="1"/>
  <c r="N170" i="1"/>
  <c r="N171" i="1"/>
  <c r="N172" i="1"/>
  <c r="N173" i="1"/>
  <c r="N174" i="1"/>
  <c r="L173" i="1"/>
  <c r="L174" i="1"/>
  <c r="N152" i="1"/>
  <c r="O152" i="1" s="1"/>
  <c r="L160" i="1"/>
  <c r="N160" i="1"/>
  <c r="L161" i="1"/>
  <c r="N161" i="1"/>
  <c r="L153" i="1"/>
  <c r="N153" i="1"/>
  <c r="L154" i="1"/>
  <c r="N154" i="1"/>
  <c r="L155" i="1"/>
  <c r="N155" i="1"/>
  <c r="L156" i="1"/>
  <c r="N156" i="1"/>
  <c r="L157" i="1"/>
  <c r="N157" i="1"/>
  <c r="L158" i="1"/>
  <c r="N158" i="1"/>
  <c r="L159" i="1"/>
  <c r="N159" i="1"/>
  <c r="L162" i="1"/>
  <c r="O162" i="1" s="1"/>
  <c r="L163" i="1"/>
  <c r="O163" i="1" s="1"/>
  <c r="L164" i="1"/>
  <c r="O164" i="1" s="1"/>
  <c r="L165" i="1"/>
  <c r="L166" i="1"/>
  <c r="L167" i="1"/>
  <c r="L168" i="1"/>
  <c r="L169" i="1"/>
  <c r="L170" i="1"/>
  <c r="L171" i="1"/>
  <c r="L172" i="1"/>
  <c r="L175" i="1"/>
  <c r="O175" i="1" s="1"/>
  <c r="L176" i="1"/>
  <c r="O176" i="1" s="1"/>
  <c r="L177" i="1"/>
  <c r="O177" i="1" s="1"/>
  <c r="L178" i="1"/>
  <c r="N178" i="1"/>
  <c r="L179" i="1"/>
  <c r="N179" i="1"/>
  <c r="L180" i="1"/>
  <c r="N180" i="1"/>
  <c r="L181" i="1"/>
  <c r="N181" i="1"/>
  <c r="L182" i="1"/>
  <c r="N182" i="1"/>
  <c r="L183" i="1"/>
  <c r="N183" i="1"/>
  <c r="L184" i="1"/>
  <c r="N184" i="1"/>
  <c r="L185" i="1"/>
  <c r="N185" i="1"/>
  <c r="L188" i="1"/>
  <c r="O188" i="1" s="1"/>
  <c r="L189" i="1"/>
  <c r="O189" i="1" s="1"/>
  <c r="L190" i="1"/>
  <c r="O190" i="1" s="1"/>
  <c r="L191" i="1"/>
  <c r="L192" i="1"/>
  <c r="L193" i="1"/>
  <c r="N193" i="1"/>
  <c r="L194" i="1"/>
  <c r="N194" i="1"/>
  <c r="L195" i="1"/>
  <c r="N195" i="1"/>
  <c r="L196" i="1"/>
  <c r="N196" i="1"/>
  <c r="L197" i="1"/>
  <c r="N197" i="1"/>
  <c r="L198" i="1"/>
  <c r="N198" i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N207" i="1"/>
  <c r="L208" i="1"/>
  <c r="N208" i="1"/>
  <c r="L209" i="1"/>
  <c r="O209" i="1" s="1"/>
  <c r="L210" i="1"/>
  <c r="O210" i="1" s="1"/>
  <c r="L211" i="1"/>
  <c r="O211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7" i="1"/>
  <c r="O227" i="1" s="1"/>
  <c r="L228" i="1"/>
  <c r="O228" i="1" s="1"/>
  <c r="L229" i="1"/>
  <c r="O229" i="1" s="1"/>
  <c r="L230" i="1"/>
  <c r="N230" i="1"/>
  <c r="O230" i="1" s="1"/>
  <c r="L231" i="1"/>
  <c r="N231" i="1"/>
  <c r="L232" i="1"/>
  <c r="N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40" i="1"/>
  <c r="O240" i="1" s="1"/>
  <c r="L241" i="1"/>
  <c r="O241" i="1" s="1"/>
  <c r="L242" i="1"/>
  <c r="O242" i="1" s="1"/>
  <c r="L243" i="1"/>
  <c r="N243" i="1"/>
  <c r="L244" i="1"/>
  <c r="N244" i="1"/>
  <c r="O244" i="1" s="1"/>
  <c r="L245" i="1"/>
  <c r="N245" i="1"/>
  <c r="L246" i="1"/>
  <c r="N246" i="1"/>
  <c r="O246" i="1" s="1"/>
  <c r="L247" i="1"/>
  <c r="N247" i="1"/>
  <c r="L248" i="1"/>
  <c r="O248" i="1" s="1"/>
  <c r="L249" i="1"/>
  <c r="O249" i="1" s="1"/>
  <c r="L250" i="1"/>
  <c r="O250" i="1" s="1"/>
  <c r="L253" i="1"/>
  <c r="O253" i="1" s="1"/>
  <c r="L254" i="1"/>
  <c r="O254" i="1" s="1"/>
  <c r="L255" i="1"/>
  <c r="O255" i="1" s="1"/>
  <c r="N115" i="1"/>
  <c r="N114" i="1"/>
  <c r="N113" i="1"/>
  <c r="N105" i="1"/>
  <c r="N101" i="1"/>
  <c r="N100" i="1"/>
  <c r="L147" i="1"/>
  <c r="N147" i="1"/>
  <c r="O147" i="1" s="1"/>
  <c r="L148" i="1"/>
  <c r="N148" i="1"/>
  <c r="L134" i="1"/>
  <c r="N134" i="1"/>
  <c r="L135" i="1"/>
  <c r="N135" i="1"/>
  <c r="L121" i="1"/>
  <c r="N121" i="1"/>
  <c r="O121" i="1" s="1"/>
  <c r="L122" i="1"/>
  <c r="N122" i="1"/>
  <c r="L108" i="1"/>
  <c r="N108" i="1"/>
  <c r="O108" i="1" s="1"/>
  <c r="L109" i="1"/>
  <c r="N109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O97" i="1" s="1"/>
  <c r="L98" i="1"/>
  <c r="O98" i="1" s="1"/>
  <c r="L99" i="1"/>
  <c r="L100" i="1"/>
  <c r="L101" i="1"/>
  <c r="L102" i="1"/>
  <c r="L103" i="1"/>
  <c r="L104" i="1"/>
  <c r="L105" i="1"/>
  <c r="L106" i="1"/>
  <c r="L107" i="1"/>
  <c r="L110" i="1"/>
  <c r="O110" i="1" s="1"/>
  <c r="L111" i="1"/>
  <c r="O111" i="1" s="1"/>
  <c r="L112" i="1"/>
  <c r="O112" i="1" s="1"/>
  <c r="L113" i="1"/>
  <c r="L114" i="1"/>
  <c r="L115" i="1"/>
  <c r="N96" i="1"/>
  <c r="N95" i="1"/>
  <c r="O95" i="1" s="1"/>
  <c r="N94" i="1"/>
  <c r="N93" i="1"/>
  <c r="N89" i="1"/>
  <c r="N88" i="1"/>
  <c r="N87" i="1"/>
  <c r="L77" i="1"/>
  <c r="L76" i="1"/>
  <c r="L82" i="1"/>
  <c r="N82" i="1"/>
  <c r="L83" i="1"/>
  <c r="N83" i="1"/>
  <c r="O83" i="1" s="1"/>
  <c r="N69" i="1"/>
  <c r="N68" i="1"/>
  <c r="N67" i="1"/>
  <c r="N66" i="1"/>
  <c r="N65" i="1"/>
  <c r="N64" i="1"/>
  <c r="N62" i="1"/>
  <c r="N61" i="1"/>
  <c r="L69" i="1"/>
  <c r="L70" i="1"/>
  <c r="N70" i="1"/>
  <c r="L56" i="1"/>
  <c r="L57" i="1"/>
  <c r="L58" i="1"/>
  <c r="O58" i="1" s="1"/>
  <c r="L59" i="1"/>
  <c r="O59" i="1" s="1"/>
  <c r="L60" i="1"/>
  <c r="O60" i="1" s="1"/>
  <c r="L54" i="1"/>
  <c r="L55" i="1"/>
  <c r="N56" i="1"/>
  <c r="N55" i="1"/>
  <c r="O99" i="1"/>
  <c r="N49" i="1"/>
  <c r="N50" i="1"/>
  <c r="N51" i="1"/>
  <c r="N52" i="1"/>
  <c r="N53" i="1"/>
  <c r="N54" i="1"/>
  <c r="N57" i="1"/>
  <c r="N48" i="1"/>
  <c r="O247" i="1" l="1"/>
  <c r="O245" i="1"/>
  <c r="O243" i="1"/>
  <c r="O231" i="1"/>
  <c r="O183" i="1"/>
  <c r="O179" i="1"/>
  <c r="O158" i="1"/>
  <c r="O156" i="1"/>
  <c r="O154" i="1"/>
  <c r="O187" i="1"/>
  <c r="O198" i="1"/>
  <c r="O196" i="1"/>
  <c r="O194" i="1"/>
  <c r="O160" i="1"/>
  <c r="O191" i="1"/>
  <c r="O192" i="1"/>
  <c r="O182" i="1"/>
  <c r="O186" i="1"/>
  <c r="O207" i="1"/>
  <c r="O178" i="1"/>
  <c r="O159" i="1"/>
  <c r="O157" i="1"/>
  <c r="O155" i="1"/>
  <c r="O208" i="1"/>
  <c r="O197" i="1"/>
  <c r="O193" i="1"/>
  <c r="O199" i="1"/>
  <c r="O195" i="1"/>
  <c r="O185" i="1"/>
  <c r="O181" i="1"/>
  <c r="O184" i="1"/>
  <c r="O180" i="1"/>
  <c r="O168" i="1"/>
  <c r="O167" i="1"/>
  <c r="O174" i="1"/>
  <c r="O170" i="1"/>
  <c r="O166" i="1"/>
  <c r="O172" i="1"/>
  <c r="O171" i="1"/>
  <c r="O165" i="1"/>
  <c r="O173" i="1"/>
  <c r="O169" i="1"/>
  <c r="O161" i="1"/>
  <c r="O153" i="1"/>
  <c r="O200" i="1"/>
  <c r="O87" i="1"/>
  <c r="O122" i="1"/>
  <c r="O55" i="1"/>
  <c r="O69" i="1"/>
  <c r="O148" i="1"/>
  <c r="O134" i="1"/>
  <c r="O135" i="1"/>
  <c r="O54" i="1"/>
  <c r="O94" i="1"/>
  <c r="O96" i="1"/>
  <c r="O56" i="1"/>
  <c r="O70" i="1"/>
  <c r="O109" i="1"/>
  <c r="O88" i="1"/>
  <c r="O93" i="1"/>
  <c r="O89" i="1"/>
  <c r="O82" i="1"/>
  <c r="O57" i="1"/>
  <c r="L48" i="1"/>
  <c r="L49" i="1"/>
  <c r="O49" i="1" s="1"/>
  <c r="L50" i="1"/>
  <c r="O50" i="1" s="1"/>
  <c r="L51" i="1"/>
  <c r="O51" i="1" s="1"/>
  <c r="L52" i="1"/>
  <c r="O52" i="1" s="1"/>
  <c r="L53" i="1"/>
  <c r="O53" i="1" s="1"/>
  <c r="L61" i="1"/>
  <c r="L62" i="1"/>
  <c r="O62" i="1" s="1"/>
  <c r="L63" i="1"/>
  <c r="N63" i="1"/>
  <c r="L64" i="1"/>
  <c r="O64" i="1" s="1"/>
  <c r="L65" i="1"/>
  <c r="O65" i="1" s="1"/>
  <c r="L66" i="1"/>
  <c r="L67" i="1"/>
  <c r="O67" i="1" s="1"/>
  <c r="L68" i="1"/>
  <c r="O68" i="1" s="1"/>
  <c r="L71" i="1"/>
  <c r="O71" i="1" s="1"/>
  <c r="L72" i="1"/>
  <c r="O72" i="1" s="1"/>
  <c r="L73" i="1"/>
  <c r="O73" i="1" s="1"/>
  <c r="L74" i="1"/>
  <c r="N74" i="1"/>
  <c r="L75" i="1"/>
  <c r="N75" i="1"/>
  <c r="N76" i="1"/>
  <c r="O76" i="1" s="1"/>
  <c r="N77" i="1"/>
  <c r="O77" i="1" s="1"/>
  <c r="L78" i="1"/>
  <c r="N78" i="1"/>
  <c r="L79" i="1"/>
  <c r="N79" i="1"/>
  <c r="L80" i="1"/>
  <c r="N80" i="1"/>
  <c r="L81" i="1"/>
  <c r="N81" i="1"/>
  <c r="L84" i="1"/>
  <c r="O84" i="1" s="1"/>
  <c r="O85" i="1"/>
  <c r="O86" i="1"/>
  <c r="N90" i="1"/>
  <c r="O90" i="1" s="1"/>
  <c r="N91" i="1"/>
  <c r="O91" i="1" s="1"/>
  <c r="N92" i="1"/>
  <c r="O92" i="1" s="1"/>
  <c r="O100" i="1"/>
  <c r="O101" i="1"/>
  <c r="N102" i="1"/>
  <c r="O102" i="1" s="1"/>
  <c r="N103" i="1"/>
  <c r="O103" i="1" s="1"/>
  <c r="N104" i="1"/>
  <c r="O104" i="1" s="1"/>
  <c r="O105" i="1"/>
  <c r="N106" i="1"/>
  <c r="O106" i="1" s="1"/>
  <c r="N107" i="1"/>
  <c r="O107" i="1" s="1"/>
  <c r="O113" i="1"/>
  <c r="O114" i="1"/>
  <c r="O115" i="1"/>
  <c r="L116" i="1"/>
  <c r="N116" i="1"/>
  <c r="L117" i="1"/>
  <c r="N117" i="1"/>
  <c r="L118" i="1"/>
  <c r="N118" i="1"/>
  <c r="L119" i="1"/>
  <c r="N119" i="1"/>
  <c r="L120" i="1"/>
  <c r="N120" i="1"/>
  <c r="L123" i="1"/>
  <c r="O123" i="1" s="1"/>
  <c r="L124" i="1"/>
  <c r="O124" i="1" s="1"/>
  <c r="L125" i="1"/>
  <c r="O125" i="1" s="1"/>
  <c r="L126" i="1"/>
  <c r="N126" i="1"/>
  <c r="L127" i="1"/>
  <c r="N127" i="1"/>
  <c r="L128" i="1"/>
  <c r="N128" i="1"/>
  <c r="L129" i="1"/>
  <c r="N129" i="1"/>
  <c r="L130" i="1"/>
  <c r="N130" i="1"/>
  <c r="L131" i="1"/>
  <c r="N131" i="1"/>
  <c r="L132" i="1"/>
  <c r="N132" i="1"/>
  <c r="L133" i="1"/>
  <c r="N133" i="1"/>
  <c r="L136" i="1"/>
  <c r="O136" i="1" s="1"/>
  <c r="L137" i="1"/>
  <c r="O137" i="1" s="1"/>
  <c r="L138" i="1"/>
  <c r="O138" i="1" s="1"/>
  <c r="L139" i="1"/>
  <c r="N139" i="1"/>
  <c r="L140" i="1"/>
  <c r="N140" i="1"/>
  <c r="L141" i="1"/>
  <c r="N141" i="1"/>
  <c r="L142" i="1"/>
  <c r="N142" i="1"/>
  <c r="L143" i="1"/>
  <c r="N143" i="1"/>
  <c r="L144" i="1"/>
  <c r="N144" i="1"/>
  <c r="L145" i="1"/>
  <c r="N145" i="1"/>
  <c r="L146" i="1"/>
  <c r="N146" i="1"/>
  <c r="L149" i="1"/>
  <c r="O149" i="1" s="1"/>
  <c r="L150" i="1"/>
  <c r="O150" i="1" s="1"/>
  <c r="L151" i="1"/>
  <c r="O151" i="1" s="1"/>
  <c r="L44" i="1"/>
  <c r="N44" i="1"/>
  <c r="O132" i="1" l="1"/>
  <c r="O120" i="1"/>
  <c r="O118" i="1"/>
  <c r="O116" i="1"/>
  <c r="O130" i="1"/>
  <c r="O128" i="1"/>
  <c r="O126" i="1"/>
  <c r="O80" i="1"/>
  <c r="O78" i="1"/>
  <c r="O63" i="1"/>
  <c r="O133" i="1"/>
  <c r="O131" i="1"/>
  <c r="O129" i="1"/>
  <c r="O127" i="1"/>
  <c r="O119" i="1"/>
  <c r="O117" i="1"/>
  <c r="O146" i="1"/>
  <c r="O144" i="1"/>
  <c r="O142" i="1"/>
  <c r="O140" i="1"/>
  <c r="O75" i="1"/>
  <c r="O145" i="1"/>
  <c r="O143" i="1"/>
  <c r="O141" i="1"/>
  <c r="O139" i="1"/>
  <c r="O74" i="1"/>
  <c r="O81" i="1"/>
  <c r="O79" i="1"/>
  <c r="O61" i="1"/>
  <c r="O66" i="1"/>
  <c r="O48" i="1"/>
  <c r="O44" i="1"/>
  <c r="N27" i="1"/>
  <c r="N26" i="1"/>
  <c r="N25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L47" i="1"/>
  <c r="O47" i="1" s="1"/>
  <c r="L46" i="1"/>
  <c r="O46" i="1" s="1"/>
  <c r="L45" i="1"/>
  <c r="O45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O2" i="1" s="1"/>
  <c r="L24" i="1"/>
  <c r="O24" i="1" s="1"/>
  <c r="L23" i="1"/>
  <c r="O23" i="1" s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O27" i="1" l="1"/>
  <c r="O26" i="1"/>
  <c r="O4" i="1"/>
  <c r="O3" i="1"/>
  <c r="O5" i="1"/>
  <c r="O9" i="1"/>
  <c r="O17" i="1"/>
  <c r="O8" i="1"/>
  <c r="O16" i="1"/>
  <c r="O6" i="1"/>
  <c r="O10" i="1"/>
  <c r="O25" i="1"/>
  <c r="O43" i="1"/>
  <c r="O39" i="1"/>
  <c r="O35" i="1"/>
  <c r="O31" i="1"/>
  <c r="O42" i="1"/>
  <c r="O38" i="1"/>
  <c r="O34" i="1"/>
  <c r="O30" i="1"/>
  <c r="O41" i="1"/>
  <c r="O37" i="1"/>
  <c r="O33" i="1"/>
  <c r="O29" i="1"/>
  <c r="O40" i="1"/>
  <c r="O36" i="1"/>
  <c r="O32" i="1"/>
  <c r="O28" i="1"/>
  <c r="O7" i="1"/>
  <c r="O15" i="1"/>
  <c r="O18" i="1"/>
  <c r="O14" i="1"/>
  <c r="O22" i="1"/>
  <c r="O11" i="1"/>
  <c r="O13" i="1"/>
  <c r="O20" i="1"/>
  <c r="O12" i="1"/>
  <c r="O19" i="1"/>
  <c r="O21" i="1"/>
</calcChain>
</file>

<file path=xl/sharedStrings.xml><?xml version="1.0" encoding="utf-8"?>
<sst xmlns="http://schemas.openxmlformats.org/spreadsheetml/2006/main" count="1485" uniqueCount="323">
  <si>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</si>
  <si>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</si>
  <si>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</si>
  <si>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</si>
  <si>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</si>
  <si>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</si>
  <si>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</si>
  <si>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</si>
  <si>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</si>
  <si>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</si>
  <si>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</si>
  <si>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RawIntDen_normBackg_normLen</t>
  </si>
  <si>
    <t>PLATE</t>
  </si>
  <si>
    <t>plate1</t>
  </si>
  <si>
    <t>plate2</t>
  </si>
  <si>
    <t>number</t>
  </si>
  <si>
    <t>seedling2</t>
  </si>
  <si>
    <t>seedling3</t>
  </si>
  <si>
    <t>seedling4</t>
  </si>
  <si>
    <t>seedling5</t>
  </si>
  <si>
    <t>seedling6</t>
  </si>
  <si>
    <t>seedling7</t>
  </si>
  <si>
    <t>seedling8</t>
  </si>
  <si>
    <t>background</t>
  </si>
  <si>
    <t>seedling9</t>
  </si>
  <si>
    <t>seedling10</t>
  </si>
  <si>
    <t>seedling11</t>
  </si>
  <si>
    <t>seedling12</t>
  </si>
  <si>
    <t>seedling13</t>
  </si>
  <si>
    <t>seedling14</t>
  </si>
  <si>
    <t>seedling16</t>
  </si>
  <si>
    <t>seedling17</t>
  </si>
  <si>
    <t>seedling18</t>
  </si>
  <si>
    <t>seedling20</t>
  </si>
  <si>
    <t>pNRT2.1:LUC</t>
  </si>
  <si>
    <t>seedling15</t>
  </si>
  <si>
    <t>seedling1</t>
  </si>
  <si>
    <t>RawIntDen_norm_bckg</t>
  </si>
  <si>
    <t>seedling19</t>
  </si>
  <si>
    <t>7d</t>
  </si>
  <si>
    <t>DAY</t>
  </si>
  <si>
    <t>plate3</t>
  </si>
  <si>
    <t>plate4</t>
  </si>
  <si>
    <t>20240903_pnrt21_luc_1mM_N3_luc.tif:0118-0178</t>
  </si>
  <si>
    <t>20240903_pnrt21_luc_1mM_N3_luc.tif:0105-0203</t>
  </si>
  <si>
    <t>20240903_pnrt21_luc_1mM_N3_luc.tif:0112-0231</t>
  </si>
  <si>
    <t>20240903_pnrt21_luc_1mM_N3_luc.tif:0113-0250</t>
  </si>
  <si>
    <t>20240903_pnrt21_luc_1mM_N3_luc.tif:0113-0326</t>
  </si>
  <si>
    <t>20240903_pnrt21_luc_1mM_N3_luc.tif:0101-0387</t>
  </si>
  <si>
    <t>20240903_pnrt21_luc_1mM_N3_luc.tif:0102-0519</t>
  </si>
  <si>
    <t>20240903_pnrt21_luc_1mM_N3_luc.tif:0257-0194</t>
  </si>
  <si>
    <t>20240903_pnrt21_luc_1mM_N3_luc.tif:0242-0279</t>
  </si>
  <si>
    <t>20240903_pnrt21_luc_1mM_N3_luc.tif:0242-0302</t>
  </si>
  <si>
    <t>20240903_pnrt21_luc_1mM_N3_luc.tif:0238-0328</t>
  </si>
  <si>
    <t>20240903_pnrt21_luc_1mM_N3_luc.tif:0236-0352</t>
  </si>
  <si>
    <t>20240903_pnrt21_luc_1mM_N3_luc.tif:0235-0532</t>
  </si>
  <si>
    <t>20240903_pnrt21_luc_1mM_N3_luc.tif:0243-0560</t>
  </si>
  <si>
    <t>20240903_pnrt21_luc_1mM_N3_luc.tif:0228-0577</t>
  </si>
  <si>
    <t>20240903_pnrt21_luc_1mM_N3_luc.tif:0364-0267</t>
  </si>
  <si>
    <t>20240903_pnrt21_luc_1mM_N3_luc.tif:0376-0326</t>
  </si>
  <si>
    <t>20240903_pnrt21_luc_1mM_N3_luc.tif:0376-0467</t>
  </si>
  <si>
    <t>20240903_pnrt21_luc_1mM_N3_luc.tif:0364-0516</t>
  </si>
  <si>
    <t>20240903_pnrt21_luc_1mM_N3_luc.tif:0360-0580</t>
  </si>
  <si>
    <t>20240903_pnrt21_luc_1mM_N3_luc.tif:0419-0599</t>
  </si>
  <si>
    <t>20240903_pnrt21_luc_1mM_N3_luc.tif:0413-0211</t>
  </si>
  <si>
    <t>20240903_pnrt21_luc_1mM_N3_luc.tif:0421-0188</t>
  </si>
  <si>
    <t>20240903_pnrt21_luc_10mM_N8_luc.tif:0129-0225</t>
  </si>
  <si>
    <t>20240903_pnrt21_luc_10mM_N8_luc.tif:0117-0240</t>
  </si>
  <si>
    <t>20240903_pnrt21_luc_10mM_N8_luc.tif:0118-0291</t>
  </si>
  <si>
    <t>20240903_pnrt21_luc_10mM_N8_luc.tif:0119-0445</t>
  </si>
  <si>
    <t>20240903_pnrt21_luc_10mM_N8_luc.tif:0119-0516</t>
  </si>
  <si>
    <t>20240903_pnrt21_luc_10mM_N8_luc.tif:0104-0526</t>
  </si>
  <si>
    <t>20240903_pnrt21_luc_10mM_N8_luc.tif:0248-0399</t>
  </si>
  <si>
    <t>20240903_pnrt21_luc_10mM_N8_luc.tif:0255-0413</t>
  </si>
  <si>
    <t>20240903_pnrt21_luc_10mM_N8_luc.tif:0258-0432</t>
  </si>
  <si>
    <t>20240903_pnrt21_luc_10mM_N8_luc.tif:0249-0504</t>
  </si>
  <si>
    <t>20240903_pnrt21_luc_10mM_N8_luc.tif:0246-0546</t>
  </si>
  <si>
    <t>20240903_pnrt21_luc_10mM_N8_luc.tif:0229-0596</t>
  </si>
  <si>
    <t>20240903_pnrt21_luc_10mM_N8_luc.tif:0242-0607</t>
  </si>
  <si>
    <t>20240903_pnrt21_luc_10mM_N8_luc.tif:0374-0243</t>
  </si>
  <si>
    <t>20240903_pnrt21_luc_10mM_N8_luc.tif:0377-0268</t>
  </si>
  <si>
    <t>20240903_pnrt21_luc_10mM_N8_luc.tif:0379-0407</t>
  </si>
  <si>
    <t>20240903_pnrt21_luc_10mM_N8_luc.tif:0366-0439</t>
  </si>
  <si>
    <t>20240903_pnrt21_luc_10mM_N8_luc.tif:0365-0480</t>
  </si>
  <si>
    <t>20240903_pnrt21_luc_10mM_N8_luc.tif:0374-0536</t>
  </si>
  <si>
    <t>20240903_pnrt21_luc_10mM_N8_luc.tif:0419-0624</t>
  </si>
  <si>
    <t>20240903_pnrt21_luc_10mM_N8_luc.tif:0460-0576</t>
  </si>
  <si>
    <t>20240903_pnrt21_luc_10mM_N8_luc.tif:0454-0407</t>
  </si>
  <si>
    <t>20240903_pnrt21_luc_10mM_N12_luc.tif:0378-0500</t>
  </si>
  <si>
    <t>20240906_pNRT21_luc_1mM_N1_luc.tif:0112-0125</t>
  </si>
  <si>
    <t>20240906_pNRT21_luc_1mM_N1_luc.tif:0097-0185</t>
  </si>
  <si>
    <t>20240906_pNRT21_luc_1mM_N1_luc.tif:0107-0245</t>
  </si>
  <si>
    <t>20240906_pNRT21_luc_1mM_N1_luc.tif:0112-0295</t>
  </si>
  <si>
    <t>20240906_pNRT21_luc_1mM_N1_luc.tif:0089-0353</t>
  </si>
  <si>
    <t>20240906_pNRT21_luc_1mM_N1_luc.tif:0095-0415</t>
  </si>
  <si>
    <t>20240906_pNRT21_luc_1mM_N1_luc.tif:0111-0464</t>
  </si>
  <si>
    <t>20240906_pNRT21_luc_1mM_N1_luc.tif:0129-0527</t>
  </si>
  <si>
    <t>20240906_pNRT21_luc_1mM_N1_luc.tif:0114-0579</t>
  </si>
  <si>
    <t>20240906_pNRT21_luc_1mM_N1_luc.tif:0124-0646</t>
  </si>
  <si>
    <t>20240906_pNRT21_luc_1mM_N1_luc.tif:0311-0486</t>
  </si>
  <si>
    <t>20240906_pNRT21_luc_1mM_N1_luc.tif:0298-0428</t>
  </si>
  <si>
    <t>20240906_pNRT21_luc_1mM_N1_luc.tif:0292-0366</t>
  </si>
  <si>
    <t>20240906_pNRT21_luc_1mM_N2_luc.tif:0103-0112</t>
  </si>
  <si>
    <t>20240906_pNRT21_luc_1mM_N2_luc.tif:0098-0172</t>
  </si>
  <si>
    <t>20240906_pNRT21_luc_1mM_N2_luc.tif:0124-0229</t>
  </si>
  <si>
    <t>20240906_pNRT21_luc_1mM_N2_luc.tif:0121-0284</t>
  </si>
  <si>
    <t>20240906_pNRT21_luc_1mM_N2_luc.tif:0103-0346</t>
  </si>
  <si>
    <t>20240906_pNRT21_luc_1mM_N2_luc.tif:0102-0395</t>
  </si>
  <si>
    <t>20240906_pNRT21_luc_1mM_N2_luc.tif:0115-0447</t>
  </si>
  <si>
    <t>20240906_pNRT21_luc_1mM_N2_luc.tif:0121-0503</t>
  </si>
  <si>
    <t>20240906_pNRT21_luc_1mM_N2_luc.tif:0122-0571</t>
  </si>
  <si>
    <t>20240906_pNRT21_luc_1mM_N2_luc.tif:0098-0637</t>
  </si>
  <si>
    <t>20240906_pNRT21_luc_1mM_N2_luc.tif:0332-0488</t>
  </si>
  <si>
    <t>20240906_pNRT21_luc_1mM_N2_luc.tif:0353-0393</t>
  </si>
  <si>
    <t>20240906_pNRT21_luc_1mM_N2_luc.tif:0369-0332</t>
  </si>
  <si>
    <t>20240906_pNRT21_luc_10mM_N3_luc.tif:0131-0116</t>
  </si>
  <si>
    <t>20240906_pNRT21_luc_10mM_N3_luc.tif:0121-0177</t>
  </si>
  <si>
    <t>20240906_pNRT21_luc_10mM_N3_luc.tif:0116-0225</t>
  </si>
  <si>
    <t>20240906_pNRT21_luc_10mM_N3_luc.tif:0123-0292</t>
  </si>
  <si>
    <t>20240906_pNRT21_luc_10mM_N3_luc.tif:0134-0352</t>
  </si>
  <si>
    <t>20240906_pNRT21_luc_10mM_N3_luc.tif:0115-0407</t>
  </si>
  <si>
    <t>20240906_pNRT21_luc_10mM_N3_luc.tif:0136-0462</t>
  </si>
  <si>
    <t>20240906_pNRT21_luc_10mM_N3_luc.tif:0142-0523</t>
  </si>
  <si>
    <t>20240906_pNRT21_luc_10mM_N3_luc.tif:0146-0572</t>
  </si>
  <si>
    <t>20240906_pNRT21_luc_10mM_N3_luc.tif:0138-0631</t>
  </si>
  <si>
    <t>20240906_pNRT21_luc_10mM_N3_luc.tif:0365-0461</t>
  </si>
  <si>
    <t>20240906_pNRT21_luc_10mM_N3_luc.tif:0371-0374</t>
  </si>
  <si>
    <t>20240906_pNRT21_luc_10mM_N3_luc.tif:0376-0294</t>
  </si>
  <si>
    <t>20240906_pNRT21_luc_10mM_N4_luc.tif:0142-0117</t>
  </si>
  <si>
    <t>20240906_pNRT21_luc_10mM_N4_luc.tif:0128-0181</t>
  </si>
  <si>
    <t>20240906_pNRT21_luc_10mM_N4_luc.tif:0143-0235</t>
  </si>
  <si>
    <t>20240906_pNRT21_luc_10mM_N4_luc.tif:0136-0304</t>
  </si>
  <si>
    <t>20240906_pNRT21_luc_10mM_N4_luc.tif:0134-0335</t>
  </si>
  <si>
    <t>20240906_pNRT21_luc_10mM_N4_luc.tif:0148-0404</t>
  </si>
  <si>
    <t>20240906_pNRT21_luc_10mM_N4_luc.tif:0135-0467</t>
  </si>
  <si>
    <t>20240906_pNRT21_luc_10mM_N4_luc.tif:0131-0529</t>
  </si>
  <si>
    <t>20240906_pNRT21_luc_10mM_N4_luc.tif:0142-0585</t>
  </si>
  <si>
    <t>20240906_pNRT21_luc_10mM_N4_luc.tif:0142-0644</t>
  </si>
  <si>
    <t>20240906_pNRT21_luc_10mM_N4_luc.tif:0357-0587</t>
  </si>
  <si>
    <t>20240906_pNRT21_luc_10mM_N4_luc.tif:0382-0485</t>
  </si>
  <si>
    <t>20240906_pNRT21_luc_10mM_N4_luc.tif:0403-0322</t>
  </si>
  <si>
    <t>10d</t>
  </si>
  <si>
    <t>1mM</t>
  </si>
  <si>
    <t>10mM</t>
  </si>
  <si>
    <t>14d</t>
  </si>
  <si>
    <t>20240910_pNRT21_luc_1mM_N1_luc.tif:0168-0130</t>
  </si>
  <si>
    <t>20240910_pNRT21_luc_1mM_N1_luc.tif:0143-0186</t>
  </si>
  <si>
    <t>20240910_pNRT21_luc_1mM_N1_luc.tif:0159-0251</t>
  </si>
  <si>
    <t>20240910_pNRT21_luc_1mM_N1_luc.tif:0169-0299</t>
  </si>
  <si>
    <t>20240910_pNRT21_luc_1mM_N1_luc.tif:0120-0356</t>
  </si>
  <si>
    <t>20240910_pNRT21_luc_1mM_N1_luc.tif:0142-0426</t>
  </si>
  <si>
    <t>20240910_pNRT21_luc_1mM_N1_luc.tif:0156-0470</t>
  </si>
  <si>
    <t>20240910_pNRT21_luc_1mM_N1_luc.tif:0193-0531</t>
  </si>
  <si>
    <t>20240910_pNRT21_luc_1mM_N1_luc.tif:0172-0570</t>
  </si>
  <si>
    <t>20240910_pNRT21_luc_1mM_N1_luc.tif:0148-0650</t>
  </si>
  <si>
    <t>20240910_pNRT21_luc_1mM_N1_luc.tif:0392-0408</t>
  </si>
  <si>
    <t>20240910_pNRT21_luc_1mM_N1_luc.tif:0378-0362</t>
  </si>
  <si>
    <t>20240910_pNRT21_luc_1mM_N1_luc.tif:0367-0122</t>
  </si>
  <si>
    <t>20240910_pNRT21_luc_1mM_N2_luc.tif:0136-0119</t>
  </si>
  <si>
    <t>20240910_pNRT21_luc_1mM_N2_luc.tif:0147-0180</t>
  </si>
  <si>
    <t>20240910_pNRT21_luc_1mM_N2_luc.tif:0191-0237</t>
  </si>
  <si>
    <t>20240910_pNRT21_luc_1mM_N2_luc.tif:0190-0291</t>
  </si>
  <si>
    <t>20240910_pNRT21_luc_1mM_N2_luc.tif:0160-0351</t>
  </si>
  <si>
    <t>20240910_pNRT21_luc_1mM_N2_luc.tif:0153-0399</t>
  </si>
  <si>
    <t>20240910_pNRT21_luc_1mM_N2_luc.tif:0176-0450</t>
  </si>
  <si>
    <t>20240910_pNRT21_luc_1mM_N2_luc.tif:0197-0503</t>
  </si>
  <si>
    <t>20240910_pNRT21_luc_1mM_N2_luc.tif:0188-0578</t>
  </si>
  <si>
    <t>20240910_pNRT21_luc_1mM_N2_luc.tif:0168-0643</t>
  </si>
  <si>
    <t>20240910_pNRT21_luc_1mM_N2_luc.tif:0370-0620</t>
  </si>
  <si>
    <t>20240910_pNRT21_luc_1mM_N2_luc.tif:0369-0543</t>
  </si>
  <si>
    <t>20240910_pNRT21_luc_1mM_N2_luc.tif:0357-0415</t>
  </si>
  <si>
    <t>20240910_pNRT21_luc_10mM_N3_luc.tif:0153-0122</t>
  </si>
  <si>
    <t>20240910_pNRT21_luc_10mM_N3_luc.tif:0164-0183</t>
  </si>
  <si>
    <t>20240910_pNRT21_luc_10mM_N3_luc.tif:0167-0230</t>
  </si>
  <si>
    <t>20240910_pNRT21_luc_10mM_N3_luc.tif:0174-0312</t>
  </si>
  <si>
    <t>20240910_pNRT21_luc_10mM_N3_luc.tif:0193-0347</t>
  </si>
  <si>
    <t>20240910_pNRT21_luc_10mM_N3_luc.tif:0163-0415</t>
  </si>
  <si>
    <t>20240910_pNRT21_luc_10mM_N3_luc.tif:0189-0468</t>
  </si>
  <si>
    <t>20240910_pNRT21_luc_10mM_N3_luc.tif:0204-0532</t>
  </si>
  <si>
    <t>20240910_pNRT21_luc_10mM_N3_luc.tif:0212-0575</t>
  </si>
  <si>
    <t>20240910_pNRT21_luc_10mM_N3_luc.tif:0186-0639</t>
  </si>
  <si>
    <t>20240910_pNRT21_luc_10mM_N3_luc.tif:0365-0392</t>
  </si>
  <si>
    <t>20240910_pNRT21_luc_10mM_N3_luc.tif:0389-0298</t>
  </si>
  <si>
    <t>20240910_pNRT21_luc_10mM_N3_luc.tif:0394-0217</t>
  </si>
  <si>
    <t>20240910_pNRT21_luc_10mM_N4_luc.tif:0183-0121</t>
  </si>
  <si>
    <t>20240910_pNRT21_luc_10mM_N4_luc.tif:0164-0184</t>
  </si>
  <si>
    <t>20240910_pNRT21_luc_10mM_N4_luc.tif:0186-0234</t>
  </si>
  <si>
    <t>20240910_pNRT21_luc_10mM_N4_luc.tif:0175-0302</t>
  </si>
  <si>
    <t>20240910_pNRT21_luc_10mM_N4_luc.tif:0180-0335</t>
  </si>
  <si>
    <t>20240910_pNRT21_luc_10mM_N4_luc.tif:0199-0405</t>
  </si>
  <si>
    <t>20240910_pNRT21_luc_10mM_N4_luc.tif:0177-0468</t>
  </si>
  <si>
    <t>20240910_pNRT21_luc_10mM_N4_luc.tif:0177-0535</t>
  </si>
  <si>
    <t>20240910_pNRT21_luc_10mM_N4_luc.tif:0195-0586</t>
  </si>
  <si>
    <t>20240910_pNRT21_luc_10mM_N4_luc.tif:0191-0645</t>
  </si>
  <si>
    <t>20240910_pNRT21_luc_10mM_N4_luc.tif:0350-0678</t>
  </si>
  <si>
    <t>20240910_pNRT21_luc_10mM_N4_luc.tif:0342-0496</t>
  </si>
  <si>
    <t>20240910_pNRT21_luc_10mM_N4_luc.tif:0332-0369</t>
  </si>
  <si>
    <t>17d</t>
  </si>
  <si>
    <t>20240913_pNRT21_luc_1mM_N1_luc.tif:0218-0123</t>
  </si>
  <si>
    <t>20240913_pNRT21_luc_1mM_N1_luc.tif:0179-0174</t>
  </si>
  <si>
    <t>20240913_pNRT21_luc_1mM_N1_luc.tif:0196-0245</t>
  </si>
  <si>
    <t>20240913_pNRT21_luc_1mM_N1_luc.tif:0216-0287</t>
  </si>
  <si>
    <t>20240913_pNRT21_luc_1mM_N1_luc.tif:0145-0357</t>
  </si>
  <si>
    <t>20240913_pNRT21_luc_1mM_N1_luc.tif:0176-0418</t>
  </si>
  <si>
    <t>20240913_pNRT21_luc_1mM_N1_luc.tif:0201-0460</t>
  </si>
  <si>
    <t>20240913_pNRT21_luc_1mM_N1_luc.tif:0238-0522</t>
  </si>
  <si>
    <t>20240913_pNRT21_luc_1mM_N1_luc.tif:0215-0560</t>
  </si>
  <si>
    <t>20240913_pNRT21_luc_1mM_N1_luc.tif:0221-0651</t>
  </si>
  <si>
    <t>20240913_pNRT21_luc_1mM_N1_luc.tif:0369-0606</t>
  </si>
  <si>
    <t>20240913_pNRT21_luc_1mM_N1_luc.tif:0359-0406</t>
  </si>
  <si>
    <t>20240913_pNRT21_luc_1mM_N1_luc.tif:0350-0206</t>
  </si>
  <si>
    <t>20240913_pNRT21_luc_1mM_N2_luc.tif:0192-0134</t>
  </si>
  <si>
    <t>20240913_pNRT21_luc_1mM_N2_luc.tif:0186-0190</t>
  </si>
  <si>
    <t>20240913_pNRT21_luc_1mM_N2_luc.tif:0238-0251</t>
  </si>
  <si>
    <t>20240913_pNRT21_luc_1mM_N2_luc.tif:0242-0304</t>
  </si>
  <si>
    <t>20240913_pNRT21_luc_1mM_N2_luc.tif:0198-0364</t>
  </si>
  <si>
    <t>20240913_pNRT21_luc_1mM_N2_luc.tif:0189-0408</t>
  </si>
  <si>
    <t>20240913_pNRT21_luc_1mM_N2_luc.tif:0218-0453</t>
  </si>
  <si>
    <t>20240913_pNRT21_luc_1mM_N2_luc.tif:0232-0500</t>
  </si>
  <si>
    <t>20240913_pNRT21_luc_1mM_N2_luc.tif:0226-0588</t>
  </si>
  <si>
    <t>20240913_pNRT21_luc_1mM_N2_luc.tif:0195-0656</t>
  </si>
  <si>
    <t>20240913_pNRT21_luc_1mM_N2_luc.tif:0353-0687</t>
  </si>
  <si>
    <t>20240913_pNRT21_luc_1mM_N2_luc.tif:0366-0102</t>
  </si>
  <si>
    <t>20240913_pNRT21_luc_1mM_N2_luc.tif:0372-0182</t>
  </si>
  <si>
    <t>20240913_pNRT21_luc_10mM_N3_luc.tif:0187-0124</t>
  </si>
  <si>
    <t>20240913_pNRT21_luc_10mM_N3_luc.tif:0211-0185</t>
  </si>
  <si>
    <t>20240913_pNRT21_luc_10mM_N3_luc.tif:0205-0241</t>
  </si>
  <si>
    <t>20240913_pNRT21_luc_10mM_N3_luc.tif:0214-0322</t>
  </si>
  <si>
    <t>20240913_pNRT21_luc_10mM_N3_luc.tif:0241-0353</t>
  </si>
  <si>
    <t>20240913_pNRT21_luc_10mM_N3_luc.tif:0197-0418</t>
  </si>
  <si>
    <t>20240913_pNRT21_luc_10mM_N3_luc.tif:0235-0478</t>
  </si>
  <si>
    <t>20240913_pNRT21_luc_10mM_N3_luc.tif:0247-0539</t>
  </si>
  <si>
    <t>20240913_pNRT21_luc_10mM_N3_luc.tif:0254-0590</t>
  </si>
  <si>
    <t>20240913_pNRT21_luc_10mM_N3_luc.tif:0218-0657</t>
  </si>
  <si>
    <t>20240913_pNRT21_luc_10mM_N3_luc.tif:0367-0283</t>
  </si>
  <si>
    <t>20240913_pNRT21_luc_10mM_N3_luc.tif:0355-0090</t>
  </si>
  <si>
    <t>20240913_pNRT21_luc_10mM_N3_luc.tif:0347-0700</t>
  </si>
  <si>
    <t>20240913_pNRT21_luc_10mM_N4_luc.tif:0222-0126</t>
  </si>
  <si>
    <t>20240913_pNRT21_luc_10mM_N4_luc.tif:0202-0196</t>
  </si>
  <si>
    <t>20240913_pNRT21_luc_10mM_N4_luc.tif:0227-0244</t>
  </si>
  <si>
    <t>20240913_pNRT21_luc_10mM_N4_luc.tif:0225-0310</t>
  </si>
  <si>
    <t>20240913_pNRT21_luc_10mM_N4_luc.tif:0232-0342</t>
  </si>
  <si>
    <t>20240913_pNRT21_luc_10mM_N4_luc.tif:0238-0416</t>
  </si>
  <si>
    <t>20240913_pNRT21_luc_10mM_N4_luc.tif:0214-0475</t>
  </si>
  <si>
    <t>20240913_pNRT21_luc_10mM_N4_luc.tif:0205-0546</t>
  </si>
  <si>
    <t>20240913_pNRT21_luc_10mM_N4_luc.tif:0239-0602</t>
  </si>
  <si>
    <t>20240913_pNRT21_luc_10mM_N4_luc.tif:0225-0653</t>
  </si>
  <si>
    <t>20240913_pNRT21_luc_10mM_N4_luc.tif:0332-0074</t>
  </si>
  <si>
    <t>20240913_pNRT21_luc_10mM_N4_luc.tif:0340-0719</t>
  </si>
  <si>
    <t>20240913_pNRT21_luc_10mM_N4_luc.tif:0377-0283</t>
  </si>
  <si>
    <t>21d</t>
  </si>
  <si>
    <t>20240917_AV44_NRT21luc_1mM_21j_N1_luc.tif:0274-0143</t>
  </si>
  <si>
    <t>20240917_AV44_NRT21luc_1mM_21j_N1_luc.tif:0230-0193</t>
  </si>
  <si>
    <t>20240917_AV44_NRT21luc_1mM_21j_N1_luc.tif:0249-0259</t>
  </si>
  <si>
    <t>20240917_AV44_NRT21luc_1mM_21j_N1_luc.tif:0266-0305</t>
  </si>
  <si>
    <t>20240917_AV44_NRT21luc_1mM_21j_N1_luc.tif:0205-0375</t>
  </si>
  <si>
    <t>20240917_AV44_NRT21luc_1mM_21j_N1_luc.tif:0201-0438</t>
  </si>
  <si>
    <t>20240917_AV44_NRT21luc_1mM_21j_N1_luc.tif:0240-0478</t>
  </si>
  <si>
    <t>20240917_AV44_NRT21luc_1mM_21j_N1_luc.tif:0282-0537</t>
  </si>
  <si>
    <t>20240917_AV44_NRT21luc_1mM_21j_N1_luc.tif:0264-0577</t>
  </si>
  <si>
    <t>20240917_AV44_NRT21luc_1mM_21j_N1_luc.tif:0272-0676</t>
  </si>
  <si>
    <t>20240917_AV44_NRT21luc_1mM_21j_N1_luc.tif:0362-0411</t>
  </si>
  <si>
    <t>20240917_AV44_NRT21luc_1mM_21j_N1_luc.tif:0341-0069</t>
  </si>
  <si>
    <t>20240917_AV44_NRT21luc_1mM_21j_N1_luc.tif:0297-0740</t>
  </si>
  <si>
    <t>20240917_AV44_NRT21luc_1mM_21j_N2_luc.tif:0216-0125</t>
  </si>
  <si>
    <t>20240917_AV44_NRT21luc_1mM_21j_N2_luc.tif:0203-0182</t>
  </si>
  <si>
    <t>20240917_AV44_NRT21luc_1mM_21j_N2_luc.tif:0279-0239</t>
  </si>
  <si>
    <t>20240917_AV44_NRT21luc_1mM_21j_N2_luc.tif:0279-0292</t>
  </si>
  <si>
    <t>20240917_AV44_NRT21luc_1mM_21j_N2_luc.tif:0236-0354</t>
  </si>
  <si>
    <t>20240917_AV44_NRT21luc_1mM_21j_N2_luc.tif:0202-0397</t>
  </si>
  <si>
    <t>20240917_AV44_NRT21luc_1mM_21j_N2_luc.tif:0257-0445</t>
  </si>
  <si>
    <t>20240917_AV44_NRT21luc_1mM_21j_N2_luc.tif:0281-0486</t>
  </si>
  <si>
    <t>20240917_AV44_NRT21luc_1mM_21j_N2_luc.tif:0264-0576</t>
  </si>
  <si>
    <t>20240917_AV44_NRT21luc_1mM_21j_N2_luc.tif:0192-0642</t>
  </si>
  <si>
    <t>20240917_AV44_NRT21luc_1mM_21j_N2_luc.tif:0295-0705</t>
  </si>
  <si>
    <t>20240917_AV44_NRT21luc_1mM_21j_N2_luc.tif:0283-0063</t>
  </si>
  <si>
    <t>20240917_AV44_NRT21luc_1mM_21j_N2_luc.tif:0290-0030</t>
  </si>
  <si>
    <t>20240917_AV44_NRT21luc_1mM_21j_N3_luc.tif:0195-0125</t>
  </si>
  <si>
    <t>20240917_AV44_NRT21luc_1mM_21j_N3_luc.tif:0252-0194</t>
  </si>
  <si>
    <t>20240917_AV44_NRT21luc_1mM_21j_N3_luc.tif:0236-0249</t>
  </si>
  <si>
    <t>20240917_AV44_NRT21luc_1mM_21j_N3_luc.tif:0214-0329</t>
  </si>
  <si>
    <t>20240917_AV44_NRT21luc_1mM_21j_N3_luc.tif:0289-0362</t>
  </si>
  <si>
    <t>20240917_AV44_NRT21luc_1mM_21j_N3_luc.tif:0238-0424</t>
  </si>
  <si>
    <t>20240917_AV44_NRT21luc_1mM_21j_N3_luc.tif:0283-0484</t>
  </si>
  <si>
    <t>20240917_AV44_NRT21luc_1mM_21j_N3_luc.tif:0247-0544</t>
  </si>
  <si>
    <t>20240917_AV44_NRT21luc_1mM_21j_N3_luc.tif:0279-0595</t>
  </si>
  <si>
    <t>20240917_AV44_NRT21luc_1mM_21j_N3_luc.tif:0252-0667</t>
  </si>
  <si>
    <t>20240917_AV44_NRT21luc_1mM_21j_N3_luc.tif:0253-0730</t>
  </si>
  <si>
    <t>20240917_AV44_NRT21luc_1mM_21j_N3_luc.tif:0254-0063</t>
  </si>
  <si>
    <t>20240917_AV44_NRT21luc_1mM_21j_N3_luc.tif:0252-0033</t>
  </si>
  <si>
    <t>20240917_AV44_NRT21luc_1mM_21j_N4_luc.tif:0259-0121</t>
  </si>
  <si>
    <t>20240917_AV44_NRT21luc_1mM_21j_N4_luc.tif:0232-0193</t>
  </si>
  <si>
    <t>20240917_AV44_NRT21luc_1mM_21j_N4_luc.tif:0248-0230</t>
  </si>
  <si>
    <t>20240917_AV44_NRT21luc_1mM_21j_N4_luc.tif:0264-0301</t>
  </si>
  <si>
    <t>20240917_AV44_NRT21luc_1mM_21j_N4_luc.tif:0262-0340</t>
  </si>
  <si>
    <t>20240917_AV44_NRT21luc_1mM_21j_N4_luc.tif:0276-0420</t>
  </si>
  <si>
    <t>20240917_AV44_NRT21luc_1mM_21j_N4_luc.tif:0244-0484</t>
  </si>
  <si>
    <t>20240917_AV44_NRT21luc_1mM_21j_N4_luc.tif:0226-0538</t>
  </si>
  <si>
    <t>20240917_AV44_NRT21luc_1mM_21j_N4_luc.tif:0271-0593</t>
  </si>
  <si>
    <t>20240917_AV44_NRT21luc_1mM_21j_N4_luc.tif:0277-0648</t>
  </si>
  <si>
    <t>20240917_AV44_NRT21luc_1mM_21j_N4_luc.tif:0268-0031</t>
  </si>
  <si>
    <t>20240917_AV44_NRT21luc_1mM_21j_N4_luc.tif:0273-0737</t>
  </si>
  <si>
    <t>20240917_AV44_NRT21luc_1mM_21j_N4_luc.tif:0280-0715</t>
  </si>
  <si>
    <t>seedling21</t>
  </si>
  <si>
    <t>seedling22</t>
  </si>
  <si>
    <t>seedling23</t>
  </si>
  <si>
    <t>seedling24</t>
  </si>
  <si>
    <t>seedling25</t>
  </si>
  <si>
    <t>seedling26</t>
  </si>
  <si>
    <t>seedling27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</si>
  <si>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</si>
  <si>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</si>
  <si>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</si>
  <si>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</si>
  <si>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</si>
  <si>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</si>
  <si>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</si>
  <si>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</si>
  <si>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</si>
  <si>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seedling37</t>
  </si>
  <si>
    <t>seedling38</t>
  </si>
  <si>
    <t>seedling39</t>
  </si>
  <si>
    <t>seedling40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</si>
</sst>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0" borderId="8" xfId="0" applyBorder="1"/>
    <xf numFmtId="0" fontId="0" fillId="3" borderId="2" xfId="0" applyFill="1" applyBorder="1"/>
    <xf numFmtId="0" fontId="0" fillId="3" borderId="0" xfId="0" applyFill="1" applyBorder="1"/>
    <xf numFmtId="0" fontId="0" fillId="0" borderId="5" xfId="0" applyFill="1" applyBorder="1"/>
    <xf numFmtId="0" fontId="0" fillId="0" borderId="3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5"/>
  <sheetViews>
    <sheetView tabSelected="1" topLeftCell="A211" zoomScale="85" zoomScaleNormal="85" workbookViewId="0">
      <selection activeCell="M244" sqref="M244"/>
    </sheetView>
  </sheetViews>
  <sheetFormatPr baseColWidth="10" defaultColWidth="9.140625" defaultRowHeight="15" x14ac:dyDescent="0.25"/>
  <cols>
    <col min="2" max="2" width="48.140625" customWidth="1"/>
    <col min="7" max="7" width="13.42578125" customWidth="1"/>
    <col min="8" max="8" width="11.85546875" customWidth="1"/>
    <col min="9" max="9" width="13.7109375" customWidth="1"/>
    <col min="10" max="10" width="13" customWidth="1"/>
    <col min="11" max="11" width="14.28515625" customWidth="1"/>
    <col min="12" max="12" width="11.7109375" customWidth="1"/>
    <col min="13" max="13" width="10.5703125" customWidth="1"/>
    <col min="14" max="14" width="23.5703125" customWidth="1"/>
    <col min="15" max="15" width="34.85546875" customWidth="1"/>
    <col min="16" max="16" width="6" customWidth="1"/>
  </cols>
  <sheetData>
    <row r="1" spans="1:1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37</v>
      </c>
      <c r="O1" s="1" t="s">
        <v>11</v>
      </c>
      <c r="P1" s="1" t="s">
        <v>40</v>
      </c>
    </row>
    <row r="2" spans="1:16" x14ac:dyDescent="0.25">
      <c r="A2" s="2">
        <v>1</v>
      </c>
      <c r="B2" s="3" t="s">
        <v>43</v>
      </c>
      <c r="C2" s="3">
        <v>1060</v>
      </c>
      <c r="D2" s="3">
        <v>1487.6320000000001</v>
      </c>
      <c r="E2" s="3">
        <v>1576890</v>
      </c>
      <c r="F2" s="3">
        <v>1127</v>
      </c>
      <c r="G2" s="3">
        <v>1576890</v>
      </c>
      <c r="H2" s="3">
        <v>131.995</v>
      </c>
      <c r="I2" s="3" t="s">
        <v>36</v>
      </c>
      <c r="J2" s="3" t="s">
        <v>34</v>
      </c>
      <c r="K2" s="8" t="s">
        <v>142</v>
      </c>
      <c r="L2" s="3">
        <f>H2/4</f>
        <v>32.998750000000001</v>
      </c>
      <c r="M2" s="15" t="s">
        <v>13</v>
      </c>
      <c r="N2" s="3">
        <f t="shared" ref="N2:N21" si="0">G2-(((G$22/C$22*C2)+(G$23/C$23*C2)+(G$24/C$24*C2))/3)</f>
        <v>472771.92775392183</v>
      </c>
      <c r="O2" s="3">
        <f>N2/L2</f>
        <v>14326.964741207525</v>
      </c>
      <c r="P2" s="9" t="s">
        <v>39</v>
      </c>
    </row>
    <row r="3" spans="1:16" x14ac:dyDescent="0.25">
      <c r="A3" s="6">
        <v>2</v>
      </c>
      <c r="B3" s="7" t="s">
        <v>44</v>
      </c>
      <c r="C3" s="7">
        <v>877</v>
      </c>
      <c r="D3" s="7">
        <v>1240.0899999999999</v>
      </c>
      <c r="E3" s="7">
        <v>1087559</v>
      </c>
      <c r="F3" s="7">
        <v>1097</v>
      </c>
      <c r="G3" s="7">
        <v>1087559</v>
      </c>
      <c r="H3" s="7">
        <v>108.64100000000001</v>
      </c>
      <c r="I3" s="7" t="s">
        <v>16</v>
      </c>
      <c r="J3" s="7" t="s">
        <v>34</v>
      </c>
      <c r="K3" s="8" t="s">
        <v>142</v>
      </c>
      <c r="L3" s="7">
        <f>H3/4</f>
        <v>27.160250000000001</v>
      </c>
      <c r="M3" s="15" t="s">
        <v>13</v>
      </c>
      <c r="N3" s="7">
        <f t="shared" si="0"/>
        <v>174057.53833980148</v>
      </c>
      <c r="O3" s="7">
        <f t="shared" ref="O3:O24" si="1">N3/L3</f>
        <v>6408.539624627957</v>
      </c>
      <c r="P3" s="9" t="s">
        <v>39</v>
      </c>
    </row>
    <row r="4" spans="1:16" x14ac:dyDescent="0.25">
      <c r="A4" s="6">
        <v>3</v>
      </c>
      <c r="B4" s="7" t="s">
        <v>45</v>
      </c>
      <c r="C4" s="7">
        <v>905</v>
      </c>
      <c r="D4" s="7">
        <v>1361.5540000000001</v>
      </c>
      <c r="E4" s="7">
        <v>1232206</v>
      </c>
      <c r="F4" s="7">
        <v>1123</v>
      </c>
      <c r="G4" s="7">
        <v>1232206</v>
      </c>
      <c r="H4" s="7">
        <v>111.925</v>
      </c>
      <c r="I4" s="7" t="s">
        <v>17</v>
      </c>
      <c r="J4" s="7" t="s">
        <v>34</v>
      </c>
      <c r="K4" s="8" t="s">
        <v>142</v>
      </c>
      <c r="L4" s="7">
        <f t="shared" ref="L4:L24" si="2">H4/4</f>
        <v>27.981249999999999</v>
      </c>
      <c r="M4" s="15" t="s">
        <v>13</v>
      </c>
      <c r="N4" s="7">
        <f t="shared" si="0"/>
        <v>289539.15529933898</v>
      </c>
      <c r="O4" s="7">
        <f t="shared" si="1"/>
        <v>10347.613323183881</v>
      </c>
      <c r="P4" s="9" t="s">
        <v>39</v>
      </c>
    </row>
    <row r="5" spans="1:16" x14ac:dyDescent="0.25">
      <c r="A5" s="6">
        <v>4</v>
      </c>
      <c r="B5" s="7" t="s">
        <v>46</v>
      </c>
      <c r="C5" s="7">
        <v>1045</v>
      </c>
      <c r="D5" s="7">
        <v>1544.9949999999999</v>
      </c>
      <c r="E5" s="7">
        <v>1614520</v>
      </c>
      <c r="F5" s="7">
        <v>1165</v>
      </c>
      <c r="G5" s="7">
        <v>1614520</v>
      </c>
      <c r="H5" s="7">
        <v>129.24</v>
      </c>
      <c r="I5" s="7" t="s">
        <v>18</v>
      </c>
      <c r="J5" s="7" t="s">
        <v>34</v>
      </c>
      <c r="K5" s="8" t="s">
        <v>142</v>
      </c>
      <c r="L5" s="7">
        <f t="shared" si="2"/>
        <v>32.31</v>
      </c>
      <c r="M5" s="15" t="s">
        <v>13</v>
      </c>
      <c r="N5" s="7">
        <f t="shared" si="0"/>
        <v>526026.24009702681</v>
      </c>
      <c r="O5" s="7">
        <f t="shared" si="1"/>
        <v>16280.601674312187</v>
      </c>
      <c r="P5" s="9" t="s">
        <v>39</v>
      </c>
    </row>
    <row r="6" spans="1:16" x14ac:dyDescent="0.25">
      <c r="A6" s="6">
        <v>5</v>
      </c>
      <c r="B6" s="7" t="s">
        <v>47</v>
      </c>
      <c r="C6" s="7">
        <v>1024</v>
      </c>
      <c r="D6" s="7">
        <v>1601.7840000000001</v>
      </c>
      <c r="E6" s="7">
        <v>1640227</v>
      </c>
      <c r="F6" s="7">
        <v>1174</v>
      </c>
      <c r="G6" s="7">
        <v>1640227</v>
      </c>
      <c r="H6" s="7">
        <v>126.55500000000001</v>
      </c>
      <c r="I6" s="7" t="s">
        <v>19</v>
      </c>
      <c r="J6" s="7" t="s">
        <v>34</v>
      </c>
      <c r="K6" s="8" t="s">
        <v>142</v>
      </c>
      <c r="L6" s="7">
        <f t="shared" si="2"/>
        <v>31.638750000000002</v>
      </c>
      <c r="M6" s="15" t="s">
        <v>13</v>
      </c>
      <c r="N6" s="7">
        <f t="shared" si="0"/>
        <v>573607.27737737354</v>
      </c>
      <c r="O6" s="7">
        <f t="shared" si="1"/>
        <v>18129.896957919434</v>
      </c>
      <c r="P6" s="9" t="s">
        <v>39</v>
      </c>
    </row>
    <row r="7" spans="1:16" x14ac:dyDescent="0.25">
      <c r="A7" s="6">
        <v>6</v>
      </c>
      <c r="B7" s="7" t="s">
        <v>48</v>
      </c>
      <c r="C7" s="7">
        <v>921</v>
      </c>
      <c r="D7" s="7">
        <v>1251.7840000000001</v>
      </c>
      <c r="E7" s="7">
        <v>1152893</v>
      </c>
      <c r="F7" s="7">
        <v>1095</v>
      </c>
      <c r="G7" s="7">
        <v>1152893</v>
      </c>
      <c r="H7" s="7">
        <v>114.474</v>
      </c>
      <c r="I7" s="7" t="s">
        <v>20</v>
      </c>
      <c r="J7" s="7" t="s">
        <v>34</v>
      </c>
      <c r="K7" s="8" t="s">
        <v>142</v>
      </c>
      <c r="L7" s="7">
        <f t="shared" si="2"/>
        <v>28.618500000000001</v>
      </c>
      <c r="M7" s="15" t="s">
        <v>13</v>
      </c>
      <c r="N7" s="7">
        <f t="shared" si="0"/>
        <v>193560.22213336045</v>
      </c>
      <c r="O7" s="7">
        <f t="shared" si="1"/>
        <v>6763.4649661359072</v>
      </c>
      <c r="P7" s="9" t="s">
        <v>39</v>
      </c>
    </row>
    <row r="8" spans="1:16" x14ac:dyDescent="0.25">
      <c r="A8" s="6">
        <v>7</v>
      </c>
      <c r="B8" s="7" t="s">
        <v>49</v>
      </c>
      <c r="C8" s="7">
        <v>978</v>
      </c>
      <c r="D8" s="7">
        <v>1239.17</v>
      </c>
      <c r="E8" s="7">
        <v>1211908</v>
      </c>
      <c r="F8" s="7">
        <v>1085</v>
      </c>
      <c r="G8" s="7">
        <v>1211908</v>
      </c>
      <c r="H8" s="7">
        <v>121.024</v>
      </c>
      <c r="I8" s="7" t="s">
        <v>21</v>
      </c>
      <c r="J8" s="7" t="s">
        <v>34</v>
      </c>
      <c r="K8" s="8" t="s">
        <v>142</v>
      </c>
      <c r="L8" s="7">
        <f t="shared" si="2"/>
        <v>30.256</v>
      </c>
      <c r="M8" s="15" t="s">
        <v>13</v>
      </c>
      <c r="N8" s="7">
        <f t="shared" si="0"/>
        <v>193202.83522956178</v>
      </c>
      <c r="O8" s="7">
        <f t="shared" si="1"/>
        <v>6385.6040200146017</v>
      </c>
      <c r="P8" s="9" t="s">
        <v>39</v>
      </c>
    </row>
    <row r="9" spans="1:16" x14ac:dyDescent="0.25">
      <c r="A9" s="6">
        <v>8</v>
      </c>
      <c r="B9" s="7" t="s">
        <v>50</v>
      </c>
      <c r="C9" s="7">
        <v>1132</v>
      </c>
      <c r="D9" s="7">
        <v>1628.268</v>
      </c>
      <c r="E9" s="7">
        <v>1843199</v>
      </c>
      <c r="F9" s="7">
        <v>1191</v>
      </c>
      <c r="G9" s="7">
        <v>1843199</v>
      </c>
      <c r="H9" s="7">
        <v>141.02600000000001</v>
      </c>
      <c r="I9" s="7" t="s">
        <v>22</v>
      </c>
      <c r="J9" s="7" t="s">
        <v>34</v>
      </c>
      <c r="K9" s="8" t="s">
        <v>142</v>
      </c>
      <c r="L9" s="7">
        <f t="shared" si="2"/>
        <v>35.256500000000003</v>
      </c>
      <c r="M9" s="15" t="s">
        <v>13</v>
      </c>
      <c r="N9" s="7">
        <f t="shared" si="0"/>
        <v>664084.22850701842</v>
      </c>
      <c r="O9" s="7">
        <f t="shared" si="1"/>
        <v>18835.795626537471</v>
      </c>
      <c r="P9" s="9" t="s">
        <v>39</v>
      </c>
    </row>
    <row r="10" spans="1:16" x14ac:dyDescent="0.25">
      <c r="A10" s="6">
        <v>9</v>
      </c>
      <c r="B10" s="7" t="s">
        <v>51</v>
      </c>
      <c r="C10" s="7">
        <v>1011</v>
      </c>
      <c r="D10" s="7">
        <v>1309.271</v>
      </c>
      <c r="E10" s="7">
        <v>1323673</v>
      </c>
      <c r="F10" s="7">
        <v>1116</v>
      </c>
      <c r="G10" s="7">
        <v>1323673</v>
      </c>
      <c r="H10" s="7">
        <v>125.643</v>
      </c>
      <c r="I10" s="7" t="s">
        <v>24</v>
      </c>
      <c r="J10" s="7" t="s">
        <v>34</v>
      </c>
      <c r="K10" s="8" t="s">
        <v>142</v>
      </c>
      <c r="L10" s="7">
        <f t="shared" si="2"/>
        <v>31.41075</v>
      </c>
      <c r="M10" s="15" t="s">
        <v>13</v>
      </c>
      <c r="N10" s="7">
        <f t="shared" si="0"/>
        <v>270594.34807473118</v>
      </c>
      <c r="O10" s="7">
        <f t="shared" si="1"/>
        <v>8614.7050953807593</v>
      </c>
      <c r="P10" s="9" t="s">
        <v>39</v>
      </c>
    </row>
    <row r="11" spans="1:16" x14ac:dyDescent="0.25">
      <c r="A11" s="6">
        <v>10</v>
      </c>
      <c r="B11" s="7" t="s">
        <v>52</v>
      </c>
      <c r="C11" s="7">
        <v>1005</v>
      </c>
      <c r="D11" s="7">
        <v>1455.7070000000001</v>
      </c>
      <c r="E11" s="7">
        <v>1462986</v>
      </c>
      <c r="F11" s="7">
        <v>1141</v>
      </c>
      <c r="G11" s="7">
        <v>1462986</v>
      </c>
      <c r="H11" s="7">
        <v>124.50700000000001</v>
      </c>
      <c r="I11" s="7" t="s">
        <v>25</v>
      </c>
      <c r="J11" s="7" t="s">
        <v>34</v>
      </c>
      <c r="K11" s="8" t="s">
        <v>142</v>
      </c>
      <c r="L11" s="7">
        <f t="shared" si="2"/>
        <v>31.126750000000001</v>
      </c>
      <c r="M11" s="15" t="s">
        <v>13</v>
      </c>
      <c r="N11" s="7">
        <f t="shared" si="0"/>
        <v>416157.07301197306</v>
      </c>
      <c r="O11" s="7">
        <f t="shared" si="1"/>
        <v>13369.756656636913</v>
      </c>
      <c r="P11" s="9" t="s">
        <v>39</v>
      </c>
    </row>
    <row r="12" spans="1:16" x14ac:dyDescent="0.25">
      <c r="A12" s="6">
        <v>11</v>
      </c>
      <c r="B12" s="7" t="s">
        <v>53</v>
      </c>
      <c r="C12" s="7">
        <v>955</v>
      </c>
      <c r="D12" s="7">
        <v>1265.616</v>
      </c>
      <c r="E12" s="7">
        <v>1208663</v>
      </c>
      <c r="F12" s="7">
        <v>1107</v>
      </c>
      <c r="G12" s="7">
        <v>1208663</v>
      </c>
      <c r="H12" s="7">
        <v>118.10299999999999</v>
      </c>
      <c r="I12" s="7" t="s">
        <v>26</v>
      </c>
      <c r="J12" s="7" t="s">
        <v>34</v>
      </c>
      <c r="K12" s="8" t="s">
        <v>142</v>
      </c>
      <c r="L12" s="7">
        <f t="shared" si="2"/>
        <v>29.525749999999999</v>
      </c>
      <c r="M12" s="15" t="s">
        <v>14</v>
      </c>
      <c r="N12" s="7">
        <f t="shared" si="0"/>
        <v>213915.11415565608</v>
      </c>
      <c r="O12" s="7">
        <f t="shared" si="1"/>
        <v>7245.0357452615463</v>
      </c>
      <c r="P12" s="9" t="s">
        <v>39</v>
      </c>
    </row>
    <row r="13" spans="1:16" x14ac:dyDescent="0.25">
      <c r="A13" s="6">
        <v>12</v>
      </c>
      <c r="B13" s="7" t="s">
        <v>54</v>
      </c>
      <c r="C13" s="7">
        <v>899</v>
      </c>
      <c r="D13" s="7">
        <v>1186.761</v>
      </c>
      <c r="E13" s="7">
        <v>1066898</v>
      </c>
      <c r="F13" s="7">
        <v>1089</v>
      </c>
      <c r="G13" s="7">
        <v>1066898</v>
      </c>
      <c r="H13" s="7">
        <v>111.646</v>
      </c>
      <c r="I13" s="7" t="s">
        <v>27</v>
      </c>
      <c r="J13" s="7" t="s">
        <v>34</v>
      </c>
      <c r="K13" s="8" t="s">
        <v>142</v>
      </c>
      <c r="L13" s="7">
        <f t="shared" si="2"/>
        <v>27.9115</v>
      </c>
      <c r="M13" s="15" t="s">
        <v>14</v>
      </c>
      <c r="N13" s="7">
        <f t="shared" si="0"/>
        <v>130480.88023658097</v>
      </c>
      <c r="O13" s="7">
        <f t="shared" si="1"/>
        <v>4674.8071668158636</v>
      </c>
      <c r="P13" s="9" t="s">
        <v>39</v>
      </c>
    </row>
    <row r="14" spans="1:16" x14ac:dyDescent="0.25">
      <c r="A14" s="6">
        <v>13</v>
      </c>
      <c r="B14" s="7" t="s">
        <v>55</v>
      </c>
      <c r="C14" s="7">
        <v>1104</v>
      </c>
      <c r="D14" s="7">
        <v>1601.3779999999999</v>
      </c>
      <c r="E14" s="7">
        <v>1767921</v>
      </c>
      <c r="F14" s="7">
        <v>1186</v>
      </c>
      <c r="G14" s="7">
        <v>1767921</v>
      </c>
      <c r="H14" s="7">
        <v>138.375</v>
      </c>
      <c r="I14" s="7" t="s">
        <v>28</v>
      </c>
      <c r="J14" s="7" t="s">
        <v>34</v>
      </c>
      <c r="K14" s="8" t="s">
        <v>142</v>
      </c>
      <c r="L14" s="7">
        <f t="shared" si="2"/>
        <v>34.59375</v>
      </c>
      <c r="M14" s="15" t="s">
        <v>14</v>
      </c>
      <c r="N14" s="7">
        <f t="shared" si="0"/>
        <v>617971.61154748104</v>
      </c>
      <c r="O14" s="7">
        <f t="shared" si="1"/>
        <v>17863.678021246065</v>
      </c>
      <c r="P14" s="9" t="s">
        <v>39</v>
      </c>
    </row>
    <row r="15" spans="1:16" x14ac:dyDescent="0.25">
      <c r="A15" s="6">
        <v>14</v>
      </c>
      <c r="B15" s="7" t="s">
        <v>56</v>
      </c>
      <c r="C15" s="7">
        <v>1163</v>
      </c>
      <c r="D15" s="7">
        <v>1609.954</v>
      </c>
      <c r="E15" s="7">
        <v>1872377</v>
      </c>
      <c r="F15" s="7">
        <v>1177</v>
      </c>
      <c r="G15" s="7">
        <v>1872377</v>
      </c>
      <c r="H15" s="7">
        <v>145.565</v>
      </c>
      <c r="I15" s="7" t="s">
        <v>29</v>
      </c>
      <c r="J15" s="7" t="s">
        <v>34</v>
      </c>
      <c r="K15" s="8" t="s">
        <v>142</v>
      </c>
      <c r="L15" s="7">
        <f t="shared" si="2"/>
        <v>36.391249999999999</v>
      </c>
      <c r="M15" s="15" t="s">
        <v>14</v>
      </c>
      <c r="N15" s="7">
        <f t="shared" si="0"/>
        <v>660971.98299793527</v>
      </c>
      <c r="O15" s="7">
        <f t="shared" si="1"/>
        <v>18162.937052119269</v>
      </c>
      <c r="P15" s="9" t="s">
        <v>39</v>
      </c>
    </row>
    <row r="16" spans="1:16" x14ac:dyDescent="0.25">
      <c r="A16" s="6">
        <v>15</v>
      </c>
      <c r="B16" s="7" t="s">
        <v>57</v>
      </c>
      <c r="C16" s="7">
        <v>958</v>
      </c>
      <c r="D16" s="7">
        <v>1389.7190000000001</v>
      </c>
      <c r="E16" s="7">
        <v>1331351</v>
      </c>
      <c r="F16" s="7">
        <v>1131</v>
      </c>
      <c r="G16" s="7">
        <v>1331351</v>
      </c>
      <c r="H16" s="7">
        <v>118.67400000000001</v>
      </c>
      <c r="I16" s="7" t="s">
        <v>35</v>
      </c>
      <c r="J16" s="7" t="s">
        <v>34</v>
      </c>
      <c r="K16" s="8" t="s">
        <v>142</v>
      </c>
      <c r="L16" s="7">
        <f t="shared" si="2"/>
        <v>29.668500000000002</v>
      </c>
      <c r="M16" s="15" t="s">
        <v>14</v>
      </c>
      <c r="N16" s="7">
        <f t="shared" si="0"/>
        <v>333478.25168703508</v>
      </c>
      <c r="O16" s="7">
        <f t="shared" si="1"/>
        <v>11240.145328784234</v>
      </c>
      <c r="P16" s="9" t="s">
        <v>39</v>
      </c>
    </row>
    <row r="17" spans="1:16" x14ac:dyDescent="0.25">
      <c r="A17" s="6">
        <v>16</v>
      </c>
      <c r="B17" s="7" t="s">
        <v>58</v>
      </c>
      <c r="C17" s="7">
        <v>834</v>
      </c>
      <c r="D17" s="7">
        <v>1264.7270000000001</v>
      </c>
      <c r="E17" s="7">
        <v>1054782</v>
      </c>
      <c r="F17" s="7">
        <v>1107</v>
      </c>
      <c r="G17" s="7">
        <v>1054782</v>
      </c>
      <c r="H17" s="7">
        <v>102.916</v>
      </c>
      <c r="I17" s="7" t="s">
        <v>30</v>
      </c>
      <c r="J17" s="7" t="s">
        <v>34</v>
      </c>
      <c r="K17" s="8" t="s">
        <v>142</v>
      </c>
      <c r="L17" s="7">
        <f t="shared" si="2"/>
        <v>25.728999999999999</v>
      </c>
      <c r="M17" s="15" t="s">
        <v>14</v>
      </c>
      <c r="N17" s="7">
        <f t="shared" si="0"/>
        <v>186070.23372336884</v>
      </c>
      <c r="O17" s="7">
        <f t="shared" si="1"/>
        <v>7231.9263758159605</v>
      </c>
      <c r="P17" s="9" t="s">
        <v>39</v>
      </c>
    </row>
    <row r="18" spans="1:16" x14ac:dyDescent="0.25">
      <c r="A18" s="6">
        <v>17</v>
      </c>
      <c r="B18" s="7" t="s">
        <v>59</v>
      </c>
      <c r="C18" s="7">
        <v>1089</v>
      </c>
      <c r="D18" s="7">
        <v>1374.077</v>
      </c>
      <c r="E18" s="7">
        <v>1496370</v>
      </c>
      <c r="F18" s="7">
        <v>1125</v>
      </c>
      <c r="G18" s="7">
        <v>1496370</v>
      </c>
      <c r="H18" s="7">
        <v>135.94399999999999</v>
      </c>
      <c r="I18" s="7" t="s">
        <v>31</v>
      </c>
      <c r="J18" s="7" t="s">
        <v>34</v>
      </c>
      <c r="K18" s="8" t="s">
        <v>142</v>
      </c>
      <c r="L18" s="7">
        <f t="shared" si="2"/>
        <v>33.985999999999997</v>
      </c>
      <c r="M18" s="15" t="s">
        <v>14</v>
      </c>
      <c r="N18" s="7">
        <f t="shared" si="0"/>
        <v>362044.92389058578</v>
      </c>
      <c r="O18" s="7">
        <f t="shared" si="1"/>
        <v>10652.766547713347</v>
      </c>
      <c r="P18" s="9" t="s">
        <v>39</v>
      </c>
    </row>
    <row r="19" spans="1:16" x14ac:dyDescent="0.25">
      <c r="A19" s="6">
        <v>18</v>
      </c>
      <c r="B19" s="7" t="s">
        <v>60</v>
      </c>
      <c r="C19" s="7">
        <v>1117</v>
      </c>
      <c r="D19" s="7">
        <v>1465.4480000000001</v>
      </c>
      <c r="E19" s="7">
        <v>1636905</v>
      </c>
      <c r="F19" s="7">
        <v>1128</v>
      </c>
      <c r="G19" s="7">
        <v>1636905</v>
      </c>
      <c r="H19" s="7">
        <v>138.535</v>
      </c>
      <c r="I19" s="7" t="s">
        <v>32</v>
      </c>
      <c r="J19" s="7" t="s">
        <v>34</v>
      </c>
      <c r="K19" s="8" t="s">
        <v>142</v>
      </c>
      <c r="L19" s="7">
        <f t="shared" si="2"/>
        <v>34.633749999999999</v>
      </c>
      <c r="M19" s="15" t="s">
        <v>14</v>
      </c>
      <c r="N19" s="7">
        <f t="shared" si="0"/>
        <v>473414.54085012339</v>
      </c>
      <c r="O19" s="7">
        <f t="shared" si="1"/>
        <v>13669.167816078923</v>
      </c>
      <c r="P19" s="9" t="s">
        <v>39</v>
      </c>
    </row>
    <row r="20" spans="1:16" x14ac:dyDescent="0.25">
      <c r="A20" s="6">
        <v>19</v>
      </c>
      <c r="B20" s="7" t="s">
        <v>61</v>
      </c>
      <c r="C20" s="7">
        <v>1097</v>
      </c>
      <c r="D20" s="7">
        <v>1500.9</v>
      </c>
      <c r="E20" s="7">
        <v>1646487</v>
      </c>
      <c r="F20" s="7">
        <v>1154</v>
      </c>
      <c r="G20" s="7">
        <v>1646487</v>
      </c>
      <c r="H20" s="7">
        <v>137.01900000000001</v>
      </c>
      <c r="I20" s="7" t="s">
        <v>38</v>
      </c>
      <c r="J20" s="7" t="s">
        <v>34</v>
      </c>
      <c r="K20" s="8" t="s">
        <v>142</v>
      </c>
      <c r="L20" s="7">
        <f t="shared" si="2"/>
        <v>34.254750000000001</v>
      </c>
      <c r="M20" s="15" t="s">
        <v>14</v>
      </c>
      <c r="N20" s="7">
        <f t="shared" si="0"/>
        <v>503828.95730759646</v>
      </c>
      <c r="O20" s="7">
        <f t="shared" si="1"/>
        <v>14708.294683440879</v>
      </c>
      <c r="P20" s="9" t="s">
        <v>39</v>
      </c>
    </row>
    <row r="21" spans="1:16" x14ac:dyDescent="0.25">
      <c r="A21" s="6">
        <v>20</v>
      </c>
      <c r="B21" s="7" t="s">
        <v>62</v>
      </c>
      <c r="C21" s="7">
        <v>936</v>
      </c>
      <c r="D21" s="7">
        <v>1169.162</v>
      </c>
      <c r="E21" s="7">
        <v>1094336</v>
      </c>
      <c r="F21" s="7">
        <v>1081</v>
      </c>
      <c r="G21" s="7">
        <v>1094336</v>
      </c>
      <c r="H21" s="7">
        <v>116.383</v>
      </c>
      <c r="I21" s="7" t="s">
        <v>33</v>
      </c>
      <c r="J21" s="7" t="s">
        <v>34</v>
      </c>
      <c r="K21" s="8" t="s">
        <v>142</v>
      </c>
      <c r="L21" s="7">
        <f t="shared" si="2"/>
        <v>29.095749999999999</v>
      </c>
      <c r="M21" s="15" t="s">
        <v>14</v>
      </c>
      <c r="N21" s="7">
        <f t="shared" si="0"/>
        <v>119378.90979025559</v>
      </c>
      <c r="O21" s="7">
        <f t="shared" si="1"/>
        <v>4102.9672646436538</v>
      </c>
      <c r="P21" s="9" t="s">
        <v>39</v>
      </c>
    </row>
    <row r="22" spans="1:16" x14ac:dyDescent="0.25">
      <c r="A22" s="6">
        <v>21</v>
      </c>
      <c r="B22" s="7" t="s">
        <v>63</v>
      </c>
      <c r="C22" s="7">
        <v>969</v>
      </c>
      <c r="D22" s="7">
        <v>1043.7149999999999</v>
      </c>
      <c r="E22" s="7">
        <v>1011360</v>
      </c>
      <c r="F22" s="7">
        <v>1043</v>
      </c>
      <c r="G22" s="7">
        <v>1011360</v>
      </c>
      <c r="H22" s="7">
        <v>120.05</v>
      </c>
      <c r="I22" s="7" t="s">
        <v>23</v>
      </c>
      <c r="J22" s="7"/>
      <c r="K22" s="8" t="s">
        <v>142</v>
      </c>
      <c r="L22" s="7">
        <f t="shared" si="2"/>
        <v>30.012499999999999</v>
      </c>
      <c r="M22" s="15" t="s">
        <v>14</v>
      </c>
      <c r="N22" s="7"/>
      <c r="O22" s="7">
        <f t="shared" si="1"/>
        <v>0</v>
      </c>
      <c r="P22" s="9" t="s">
        <v>39</v>
      </c>
    </row>
    <row r="23" spans="1:16" x14ac:dyDescent="0.25">
      <c r="A23" s="6">
        <v>22</v>
      </c>
      <c r="B23" s="7" t="s">
        <v>64</v>
      </c>
      <c r="C23" s="7">
        <v>866</v>
      </c>
      <c r="D23" s="7">
        <v>1041.194</v>
      </c>
      <c r="E23" s="7">
        <v>901674</v>
      </c>
      <c r="F23" s="7">
        <v>1042</v>
      </c>
      <c r="G23" s="7">
        <v>901674</v>
      </c>
      <c r="H23" s="7">
        <v>107.93</v>
      </c>
      <c r="I23" s="7" t="s">
        <v>23</v>
      </c>
      <c r="J23" s="7"/>
      <c r="K23" s="8" t="s">
        <v>142</v>
      </c>
      <c r="L23" s="7">
        <f t="shared" si="2"/>
        <v>26.982500000000002</v>
      </c>
      <c r="M23" s="15" t="s">
        <v>14</v>
      </c>
      <c r="N23" s="7"/>
      <c r="O23" s="7">
        <f t="shared" si="1"/>
        <v>0</v>
      </c>
      <c r="P23" s="9" t="s">
        <v>39</v>
      </c>
    </row>
    <row r="24" spans="1:16" x14ac:dyDescent="0.25">
      <c r="A24" s="10">
        <v>23</v>
      </c>
      <c r="B24" s="11" t="s">
        <v>65</v>
      </c>
      <c r="C24" s="11">
        <v>878</v>
      </c>
      <c r="D24" s="11">
        <v>1039.953</v>
      </c>
      <c r="E24" s="11">
        <v>913079</v>
      </c>
      <c r="F24" s="11">
        <v>1040</v>
      </c>
      <c r="G24" s="11">
        <v>913079</v>
      </c>
      <c r="H24" s="11">
        <v>108.545</v>
      </c>
      <c r="I24" s="11" t="s">
        <v>23</v>
      </c>
      <c r="J24" s="11"/>
      <c r="K24" s="8" t="s">
        <v>142</v>
      </c>
      <c r="L24" s="11">
        <f t="shared" si="2"/>
        <v>27.13625</v>
      </c>
      <c r="M24" s="15" t="s">
        <v>14</v>
      </c>
      <c r="N24" s="11"/>
      <c r="O24" s="11">
        <f t="shared" si="1"/>
        <v>0</v>
      </c>
      <c r="P24" s="9" t="s">
        <v>39</v>
      </c>
    </row>
    <row r="25" spans="1:16" x14ac:dyDescent="0.25">
      <c r="A25" s="2">
        <v>1</v>
      </c>
      <c r="B25" s="3" t="s">
        <v>66</v>
      </c>
      <c r="C25" s="3">
        <v>1188</v>
      </c>
      <c r="D25" s="3">
        <v>1211.6030000000001</v>
      </c>
      <c r="E25" s="3">
        <v>1439384</v>
      </c>
      <c r="F25" s="3">
        <v>1068</v>
      </c>
      <c r="G25" s="3">
        <v>1439384</v>
      </c>
      <c r="H25" s="3">
        <v>147.67699999999999</v>
      </c>
      <c r="I25" s="3" t="s">
        <v>303</v>
      </c>
      <c r="J25" s="3" t="s">
        <v>34</v>
      </c>
      <c r="K25" s="8" t="s">
        <v>143</v>
      </c>
      <c r="L25" s="3">
        <f>H25/4</f>
        <v>36.919249999999998</v>
      </c>
      <c r="M25" s="14" t="s">
        <v>41</v>
      </c>
      <c r="N25" s="3">
        <f t="shared" ref="N25:N44" si="3">G25-(((G$45/C$45*C25)+(G$46/C$46*C25)+(G$47/C$47*C25))/3)</f>
        <v>205352.9847443474</v>
      </c>
      <c r="O25" s="3">
        <f>N25/L25</f>
        <v>5562.2198377363411</v>
      </c>
      <c r="P25" s="9" t="s">
        <v>39</v>
      </c>
    </row>
    <row r="26" spans="1:16" x14ac:dyDescent="0.25">
      <c r="A26" s="6">
        <v>2</v>
      </c>
      <c r="B26" s="7" t="s">
        <v>67</v>
      </c>
      <c r="C26" s="7">
        <v>916</v>
      </c>
      <c r="D26" s="7">
        <v>1184.271</v>
      </c>
      <c r="E26" s="7">
        <v>1084792</v>
      </c>
      <c r="F26" s="7">
        <v>1075</v>
      </c>
      <c r="G26" s="7">
        <v>1084792</v>
      </c>
      <c r="H26" s="7">
        <v>113.684</v>
      </c>
      <c r="I26" s="3" t="s">
        <v>304</v>
      </c>
      <c r="J26" s="7" t="s">
        <v>34</v>
      </c>
      <c r="K26" s="8" t="s">
        <v>143</v>
      </c>
      <c r="L26" s="7">
        <f>H26/4</f>
        <v>28.420999999999999</v>
      </c>
      <c r="M26" s="15" t="s">
        <v>41</v>
      </c>
      <c r="N26" s="7">
        <f t="shared" si="3"/>
        <v>133300.07241230831</v>
      </c>
      <c r="O26" s="7">
        <f t="shared" ref="O26:O47" si="4">N26/L26</f>
        <v>4690.1964185745856</v>
      </c>
      <c r="P26" s="9" t="s">
        <v>39</v>
      </c>
    </row>
    <row r="27" spans="1:16" x14ac:dyDescent="0.25">
      <c r="A27" s="6">
        <v>3</v>
      </c>
      <c r="B27" s="7" t="s">
        <v>68</v>
      </c>
      <c r="C27" s="7">
        <v>948</v>
      </c>
      <c r="D27" s="7">
        <v>1249.489</v>
      </c>
      <c r="E27" s="7">
        <v>1184516</v>
      </c>
      <c r="F27" s="7">
        <v>1082</v>
      </c>
      <c r="G27" s="7">
        <v>1184516</v>
      </c>
      <c r="H27" s="7">
        <v>117.78400000000001</v>
      </c>
      <c r="I27" s="3" t="s">
        <v>305</v>
      </c>
      <c r="J27" s="7" t="s">
        <v>34</v>
      </c>
      <c r="K27" s="8" t="s">
        <v>143</v>
      </c>
      <c r="L27" s="7">
        <f t="shared" ref="L27:L47" si="5">H27/4</f>
        <v>29.446000000000002</v>
      </c>
      <c r="M27" s="14" t="s">
        <v>41</v>
      </c>
      <c r="N27" s="7">
        <f t="shared" si="3"/>
        <v>199784.17974548927</v>
      </c>
      <c r="O27" s="7">
        <f t="shared" si="4"/>
        <v>6784.7646452995059</v>
      </c>
      <c r="P27" s="9" t="s">
        <v>39</v>
      </c>
    </row>
    <row r="28" spans="1:16" x14ac:dyDescent="0.25">
      <c r="A28" s="6">
        <v>4</v>
      </c>
      <c r="B28" s="7" t="s">
        <v>69</v>
      </c>
      <c r="C28" s="7">
        <v>986</v>
      </c>
      <c r="D28" s="7">
        <v>1368.788</v>
      </c>
      <c r="E28" s="7">
        <v>1349625</v>
      </c>
      <c r="F28" s="7">
        <v>1105</v>
      </c>
      <c r="G28" s="7">
        <v>1349625</v>
      </c>
      <c r="H28" s="7">
        <v>122.667</v>
      </c>
      <c r="I28" s="3" t="s">
        <v>306</v>
      </c>
      <c r="J28" s="7" t="s">
        <v>34</v>
      </c>
      <c r="K28" s="8" t="s">
        <v>143</v>
      </c>
      <c r="L28" s="7">
        <f t="shared" si="5"/>
        <v>30.66675</v>
      </c>
      <c r="M28" s="15" t="s">
        <v>41</v>
      </c>
      <c r="N28" s="7">
        <f t="shared" si="3"/>
        <v>325420.80720364174</v>
      </c>
      <c r="O28" s="7">
        <f t="shared" si="4"/>
        <v>10611.519225338248</v>
      </c>
      <c r="P28" s="9" t="s">
        <v>39</v>
      </c>
    </row>
    <row r="29" spans="1:16" x14ac:dyDescent="0.25">
      <c r="A29" s="6">
        <v>5</v>
      </c>
      <c r="B29" s="7" t="s">
        <v>70</v>
      </c>
      <c r="C29" s="7">
        <v>995</v>
      </c>
      <c r="D29" s="7">
        <v>1325.874</v>
      </c>
      <c r="E29" s="7">
        <v>1319245</v>
      </c>
      <c r="F29" s="7">
        <v>1098</v>
      </c>
      <c r="G29" s="7">
        <v>1319245</v>
      </c>
      <c r="H29" s="7">
        <v>123.69199999999999</v>
      </c>
      <c r="I29" s="3" t="s">
        <v>307</v>
      </c>
      <c r="J29" s="7" t="s">
        <v>34</v>
      </c>
      <c r="K29" s="8" t="s">
        <v>143</v>
      </c>
      <c r="L29" s="7">
        <f t="shared" si="5"/>
        <v>30.922999999999998</v>
      </c>
      <c r="M29" s="14" t="s">
        <v>41</v>
      </c>
      <c r="N29" s="7">
        <f t="shared" si="3"/>
        <v>285692.08739109896</v>
      </c>
      <c r="O29" s="7">
        <f t="shared" si="4"/>
        <v>9238.8218281246645</v>
      </c>
      <c r="P29" s="9" t="s">
        <v>39</v>
      </c>
    </row>
    <row r="30" spans="1:16" x14ac:dyDescent="0.25">
      <c r="A30" s="6">
        <v>6</v>
      </c>
      <c r="B30" s="7" t="s">
        <v>71</v>
      </c>
      <c r="C30" s="7">
        <v>764</v>
      </c>
      <c r="D30" s="7">
        <v>1129.347</v>
      </c>
      <c r="E30" s="7">
        <v>862821</v>
      </c>
      <c r="F30" s="7">
        <v>1072</v>
      </c>
      <c r="G30" s="7">
        <v>862821</v>
      </c>
      <c r="H30" s="7">
        <v>94.474999999999994</v>
      </c>
      <c r="I30" s="3" t="s">
        <v>308</v>
      </c>
      <c r="J30" s="7" t="s">
        <v>34</v>
      </c>
      <c r="K30" s="8" t="s">
        <v>143</v>
      </c>
      <c r="L30" s="7">
        <f t="shared" si="5"/>
        <v>23.618749999999999</v>
      </c>
      <c r="M30" s="15" t="s">
        <v>41</v>
      </c>
      <c r="N30" s="7">
        <f t="shared" si="3"/>
        <v>69218.562579698046</v>
      </c>
      <c r="O30" s="7">
        <f t="shared" si="4"/>
        <v>2930.6615540491366</v>
      </c>
      <c r="P30" s="9" t="s">
        <v>39</v>
      </c>
    </row>
    <row r="31" spans="1:16" x14ac:dyDescent="0.25">
      <c r="A31" s="6">
        <v>7</v>
      </c>
      <c r="B31" s="7" t="s">
        <v>72</v>
      </c>
      <c r="C31" s="7">
        <v>1067</v>
      </c>
      <c r="D31" s="7">
        <v>1349.1420000000001</v>
      </c>
      <c r="E31" s="7">
        <v>1439534</v>
      </c>
      <c r="F31" s="7">
        <v>1128</v>
      </c>
      <c r="G31" s="7">
        <v>1439534</v>
      </c>
      <c r="H31" s="7">
        <v>132.75200000000001</v>
      </c>
      <c r="I31" s="3" t="s">
        <v>309</v>
      </c>
      <c r="J31" s="7" t="s">
        <v>34</v>
      </c>
      <c r="K31" s="8" t="s">
        <v>143</v>
      </c>
      <c r="L31" s="7">
        <f t="shared" si="5"/>
        <v>33.188000000000002</v>
      </c>
      <c r="M31" s="14" t="s">
        <v>41</v>
      </c>
      <c r="N31" s="7">
        <f t="shared" si="3"/>
        <v>331191.32889075647</v>
      </c>
      <c r="O31" s="7">
        <f t="shared" si="4"/>
        <v>9979.2493940808854</v>
      </c>
      <c r="P31" s="9" t="s">
        <v>39</v>
      </c>
    </row>
    <row r="32" spans="1:16" x14ac:dyDescent="0.25">
      <c r="A32" s="6">
        <v>8</v>
      </c>
      <c r="B32" s="7" t="s">
        <v>73</v>
      </c>
      <c r="C32" s="7">
        <v>1128</v>
      </c>
      <c r="D32" s="7">
        <v>1431.954</v>
      </c>
      <c r="E32" s="7">
        <v>1615244</v>
      </c>
      <c r="F32" s="7">
        <v>1135</v>
      </c>
      <c r="G32" s="7">
        <v>1615244</v>
      </c>
      <c r="H32" s="7">
        <v>139.786</v>
      </c>
      <c r="I32" s="3" t="s">
        <v>310</v>
      </c>
      <c r="J32" s="7" t="s">
        <v>34</v>
      </c>
      <c r="K32" s="8" t="s">
        <v>143</v>
      </c>
      <c r="L32" s="7">
        <f t="shared" si="5"/>
        <v>34.9465</v>
      </c>
      <c r="M32" s="15" t="s">
        <v>41</v>
      </c>
      <c r="N32" s="7">
        <f t="shared" si="3"/>
        <v>443537.78349463292</v>
      </c>
      <c r="O32" s="7">
        <f t="shared" si="4"/>
        <v>12691.908588689366</v>
      </c>
      <c r="P32" s="9" t="s">
        <v>39</v>
      </c>
    </row>
    <row r="33" spans="1:16" x14ac:dyDescent="0.25">
      <c r="A33" s="6">
        <v>9</v>
      </c>
      <c r="B33" s="7" t="s">
        <v>74</v>
      </c>
      <c r="C33" s="7">
        <v>1219</v>
      </c>
      <c r="D33" s="7">
        <v>1390.4849999999999</v>
      </c>
      <c r="E33" s="7">
        <v>1695001</v>
      </c>
      <c r="F33" s="7">
        <v>1121</v>
      </c>
      <c r="G33" s="7">
        <v>1695001</v>
      </c>
      <c r="H33" s="7">
        <v>151.499</v>
      </c>
      <c r="I33" s="3" t="s">
        <v>311</v>
      </c>
      <c r="J33" s="7" t="s">
        <v>34</v>
      </c>
      <c r="K33" s="8" t="s">
        <v>143</v>
      </c>
      <c r="L33" s="7">
        <f t="shared" si="5"/>
        <v>37.874749999999999</v>
      </c>
      <c r="M33" s="14" t="s">
        <v>41</v>
      </c>
      <c r="N33" s="7">
        <f t="shared" si="3"/>
        <v>428768.83872336638</v>
      </c>
      <c r="O33" s="7">
        <f t="shared" si="4"/>
        <v>11320.704129357062</v>
      </c>
      <c r="P33" s="9" t="s">
        <v>39</v>
      </c>
    </row>
    <row r="34" spans="1:16" x14ac:dyDescent="0.25">
      <c r="A34" s="6">
        <v>10</v>
      </c>
      <c r="B34" s="7" t="s">
        <v>75</v>
      </c>
      <c r="C34" s="7">
        <v>1126</v>
      </c>
      <c r="D34" s="7">
        <v>1196.8920000000001</v>
      </c>
      <c r="E34" s="7">
        <v>1347700</v>
      </c>
      <c r="F34" s="7">
        <v>1075</v>
      </c>
      <c r="G34" s="7">
        <v>1347700</v>
      </c>
      <c r="H34" s="7">
        <v>140.21700000000001</v>
      </c>
      <c r="I34" s="3" t="s">
        <v>312</v>
      </c>
      <c r="J34" s="7" t="s">
        <v>34</v>
      </c>
      <c r="K34" s="8" t="s">
        <v>143</v>
      </c>
      <c r="L34" s="7">
        <f t="shared" si="5"/>
        <v>35.054250000000003</v>
      </c>
      <c r="M34" s="15" t="s">
        <v>41</v>
      </c>
      <c r="N34" s="7">
        <f t="shared" si="3"/>
        <v>178071.27678630897</v>
      </c>
      <c r="O34" s="7">
        <f t="shared" si="4"/>
        <v>5079.8769560412493</v>
      </c>
      <c r="P34" s="9" t="s">
        <v>39</v>
      </c>
    </row>
    <row r="35" spans="1:16" x14ac:dyDescent="0.25">
      <c r="A35" s="6">
        <v>11</v>
      </c>
      <c r="B35" s="7" t="s">
        <v>76</v>
      </c>
      <c r="C35" s="7">
        <v>1021</v>
      </c>
      <c r="D35" s="7">
        <v>1215.6400000000001</v>
      </c>
      <c r="E35" s="7">
        <v>1241168</v>
      </c>
      <c r="F35" s="7">
        <v>1085</v>
      </c>
      <c r="G35" s="7">
        <v>1241168</v>
      </c>
      <c r="H35" s="7">
        <v>126.931</v>
      </c>
      <c r="I35" s="3" t="s">
        <v>313</v>
      </c>
      <c r="J35" s="7" t="s">
        <v>34</v>
      </c>
      <c r="K35" s="8" t="s">
        <v>143</v>
      </c>
      <c r="L35" s="7">
        <f t="shared" si="5"/>
        <v>31.732749999999999</v>
      </c>
      <c r="M35" s="14" t="s">
        <v>42</v>
      </c>
      <c r="N35" s="7">
        <f t="shared" si="3"/>
        <v>180607.67459930852</v>
      </c>
      <c r="O35" s="7">
        <f t="shared" si="4"/>
        <v>5691.5229407885708</v>
      </c>
      <c r="P35" s="9" t="s">
        <v>39</v>
      </c>
    </row>
    <row r="36" spans="1:16" x14ac:dyDescent="0.25">
      <c r="A36" s="6">
        <v>12</v>
      </c>
      <c r="B36" s="7" t="s">
        <v>77</v>
      </c>
      <c r="C36" s="7">
        <v>687</v>
      </c>
      <c r="D36" s="7">
        <v>1281.261</v>
      </c>
      <c r="E36" s="7">
        <v>880226</v>
      </c>
      <c r="F36" s="7">
        <v>1107</v>
      </c>
      <c r="G36" s="7">
        <v>880226</v>
      </c>
      <c r="H36" s="7">
        <v>85.454999999999998</v>
      </c>
      <c r="I36" s="3" t="s">
        <v>314</v>
      </c>
      <c r="J36" s="7" t="s">
        <v>34</v>
      </c>
      <c r="K36" s="8" t="s">
        <v>143</v>
      </c>
      <c r="L36" s="7">
        <f t="shared" si="5"/>
        <v>21.36375</v>
      </c>
      <c r="M36" s="15" t="s">
        <v>42</v>
      </c>
      <c r="N36" s="7">
        <f t="shared" si="3"/>
        <v>166607.05430923123</v>
      </c>
      <c r="O36" s="7">
        <f t="shared" si="4"/>
        <v>7798.5865922055464</v>
      </c>
      <c r="P36" s="9" t="s">
        <v>39</v>
      </c>
    </row>
    <row r="37" spans="1:16" x14ac:dyDescent="0.25">
      <c r="A37" s="6">
        <v>13</v>
      </c>
      <c r="B37" s="7" t="s">
        <v>78</v>
      </c>
      <c r="C37" s="7">
        <v>1039</v>
      </c>
      <c r="D37" s="7">
        <v>1278.4169999999999</v>
      </c>
      <c r="E37" s="7">
        <v>1328275</v>
      </c>
      <c r="F37" s="7">
        <v>1103</v>
      </c>
      <c r="G37" s="7">
        <v>1328275</v>
      </c>
      <c r="H37" s="7">
        <v>129.73500000000001</v>
      </c>
      <c r="I37" s="3" t="s">
        <v>315</v>
      </c>
      <c r="J37" s="7" t="s">
        <v>34</v>
      </c>
      <c r="K37" s="8" t="s">
        <v>143</v>
      </c>
      <c r="L37" s="7">
        <f t="shared" si="5"/>
        <v>32.433750000000003</v>
      </c>
      <c r="M37" s="14" t="s">
        <v>42</v>
      </c>
      <c r="N37" s="7">
        <f t="shared" si="3"/>
        <v>249017.23497422296</v>
      </c>
      <c r="O37" s="7">
        <f t="shared" si="4"/>
        <v>7677.7195043503425</v>
      </c>
      <c r="P37" s="9" t="s">
        <v>39</v>
      </c>
    </row>
    <row r="38" spans="1:16" x14ac:dyDescent="0.25">
      <c r="A38" s="6">
        <v>14</v>
      </c>
      <c r="B38" s="7" t="s">
        <v>79</v>
      </c>
      <c r="C38" s="7">
        <v>921</v>
      </c>
      <c r="D38" s="7">
        <v>1129.279</v>
      </c>
      <c r="E38" s="7">
        <v>1040066</v>
      </c>
      <c r="F38" s="7">
        <v>1070</v>
      </c>
      <c r="G38" s="7">
        <v>1040066</v>
      </c>
      <c r="H38" s="7">
        <v>114.56100000000001</v>
      </c>
      <c r="I38" s="3" t="s">
        <v>316</v>
      </c>
      <c r="J38" s="7" t="s">
        <v>34</v>
      </c>
      <c r="K38" s="8" t="s">
        <v>143</v>
      </c>
      <c r="L38" s="7">
        <f t="shared" si="5"/>
        <v>28.640250000000002</v>
      </c>
      <c r="M38" s="15" t="s">
        <v>42</v>
      </c>
      <c r="N38" s="7">
        <f t="shared" si="3"/>
        <v>83380.339183117729</v>
      </c>
      <c r="O38" s="7">
        <f t="shared" si="4"/>
        <v>2911.2992792701784</v>
      </c>
      <c r="P38" s="9" t="s">
        <v>39</v>
      </c>
    </row>
    <row r="39" spans="1:16" x14ac:dyDescent="0.25">
      <c r="A39" s="6">
        <v>15</v>
      </c>
      <c r="B39" s="7" t="s">
        <v>80</v>
      </c>
      <c r="C39" s="7">
        <v>947</v>
      </c>
      <c r="D39" s="7">
        <v>1178.2070000000001</v>
      </c>
      <c r="E39" s="7">
        <v>1115762</v>
      </c>
      <c r="F39" s="7">
        <v>1077</v>
      </c>
      <c r="G39" s="7">
        <v>1115762</v>
      </c>
      <c r="H39" s="7">
        <v>117.794</v>
      </c>
      <c r="I39" s="3" t="s">
        <v>317</v>
      </c>
      <c r="J39" s="7" t="s">
        <v>34</v>
      </c>
      <c r="K39" s="8" t="s">
        <v>143</v>
      </c>
      <c r="L39" s="7">
        <f t="shared" si="5"/>
        <v>29.448499999999999</v>
      </c>
      <c r="M39" s="14" t="s">
        <v>42</v>
      </c>
      <c r="N39" s="7">
        <f t="shared" si="3"/>
        <v>132068.92639132729</v>
      </c>
      <c r="O39" s="7">
        <f t="shared" si="4"/>
        <v>4484.7420544790839</v>
      </c>
      <c r="P39" s="9" t="s">
        <v>39</v>
      </c>
    </row>
    <row r="40" spans="1:16" x14ac:dyDescent="0.25">
      <c r="A40" s="6">
        <v>16</v>
      </c>
      <c r="B40" s="7" t="s">
        <v>81</v>
      </c>
      <c r="C40" s="7">
        <v>1055</v>
      </c>
      <c r="D40" s="7">
        <v>1379.636</v>
      </c>
      <c r="E40" s="7">
        <v>1455516</v>
      </c>
      <c r="F40" s="7">
        <v>1129</v>
      </c>
      <c r="G40" s="7">
        <v>1455516</v>
      </c>
      <c r="H40" s="7">
        <v>131.19</v>
      </c>
      <c r="I40" s="3" t="s">
        <v>318</v>
      </c>
      <c r="J40" s="7" t="s">
        <v>34</v>
      </c>
      <c r="K40" s="8" t="s">
        <v>143</v>
      </c>
      <c r="L40" s="7">
        <f t="shared" si="5"/>
        <v>32.797499999999999</v>
      </c>
      <c r="M40" s="15" t="s">
        <v>42</v>
      </c>
      <c r="N40" s="7">
        <f t="shared" si="3"/>
        <v>359638.2886408132</v>
      </c>
      <c r="O40" s="7">
        <f t="shared" si="4"/>
        <v>10965.417749548387</v>
      </c>
      <c r="P40" s="9" t="s">
        <v>39</v>
      </c>
    </row>
    <row r="41" spans="1:16" x14ac:dyDescent="0.25">
      <c r="A41" s="6">
        <v>17</v>
      </c>
      <c r="B41" s="7" t="s">
        <v>82</v>
      </c>
      <c r="C41" s="7">
        <v>924</v>
      </c>
      <c r="D41" s="7">
        <v>1198.6289999999999</v>
      </c>
      <c r="E41" s="7">
        <v>1107533</v>
      </c>
      <c r="F41" s="7">
        <v>1085</v>
      </c>
      <c r="G41" s="7">
        <v>1107533</v>
      </c>
      <c r="H41" s="7">
        <v>115.182</v>
      </c>
      <c r="I41" s="3" t="s">
        <v>319</v>
      </c>
      <c r="J41" s="7" t="s">
        <v>34</v>
      </c>
      <c r="K41" s="8" t="s">
        <v>143</v>
      </c>
      <c r="L41" s="7">
        <f t="shared" si="5"/>
        <v>28.795500000000001</v>
      </c>
      <c r="M41" s="14" t="s">
        <v>42</v>
      </c>
      <c r="N41" s="7">
        <f t="shared" si="3"/>
        <v>147731.09924560355</v>
      </c>
      <c r="O41" s="7">
        <f t="shared" si="4"/>
        <v>5130.3536749007153</v>
      </c>
      <c r="P41" s="9" t="s">
        <v>39</v>
      </c>
    </row>
    <row r="42" spans="1:16" x14ac:dyDescent="0.25">
      <c r="A42" s="6">
        <v>18</v>
      </c>
      <c r="B42" s="7" t="s">
        <v>83</v>
      </c>
      <c r="C42" s="7">
        <v>925</v>
      </c>
      <c r="D42" s="7">
        <v>1205.0619999999999</v>
      </c>
      <c r="E42" s="7">
        <v>1114682</v>
      </c>
      <c r="F42" s="7">
        <v>1082</v>
      </c>
      <c r="G42" s="7">
        <v>1114682</v>
      </c>
      <c r="H42" s="7">
        <v>114.998</v>
      </c>
      <c r="I42" s="3" t="s">
        <v>320</v>
      </c>
      <c r="J42" s="7" t="s">
        <v>34</v>
      </c>
      <c r="K42" s="8" t="s">
        <v>143</v>
      </c>
      <c r="L42" s="7">
        <f t="shared" si="5"/>
        <v>28.749500000000001</v>
      </c>
      <c r="M42" s="15" t="s">
        <v>42</v>
      </c>
      <c r="N42" s="7">
        <f t="shared" si="3"/>
        <v>153841.35259976529</v>
      </c>
      <c r="O42" s="7">
        <f t="shared" si="4"/>
        <v>5351.0966312375967</v>
      </c>
      <c r="P42" s="9" t="s">
        <v>39</v>
      </c>
    </row>
    <row r="43" spans="1:16" x14ac:dyDescent="0.25">
      <c r="A43" s="6">
        <v>19</v>
      </c>
      <c r="B43" s="7" t="s">
        <v>84</v>
      </c>
      <c r="C43" s="7">
        <v>1075</v>
      </c>
      <c r="D43" s="7">
        <v>1411.1089999999999</v>
      </c>
      <c r="E43" s="7">
        <v>1516942</v>
      </c>
      <c r="F43" s="7">
        <v>1123</v>
      </c>
      <c r="G43" s="7">
        <v>1516942</v>
      </c>
      <c r="H43" s="7">
        <v>133.95500000000001</v>
      </c>
      <c r="I43" s="3" t="s">
        <v>321</v>
      </c>
      <c r="J43" s="7" t="s">
        <v>34</v>
      </c>
      <c r="K43" s="8" t="s">
        <v>143</v>
      </c>
      <c r="L43" s="7">
        <f t="shared" si="5"/>
        <v>33.488750000000003</v>
      </c>
      <c r="M43" s="14" t="s">
        <v>42</v>
      </c>
      <c r="N43" s="7">
        <f t="shared" si="3"/>
        <v>400289.35572405183</v>
      </c>
      <c r="O43" s="7">
        <f t="shared" si="4"/>
        <v>11952.950042150029</v>
      </c>
      <c r="P43" s="9" t="s">
        <v>39</v>
      </c>
    </row>
    <row r="44" spans="1:16" x14ac:dyDescent="0.25">
      <c r="A44" s="6">
        <v>1</v>
      </c>
      <c r="B44" s="7" t="s">
        <v>88</v>
      </c>
      <c r="C44" s="7">
        <v>1065</v>
      </c>
      <c r="D44" s="7">
        <v>1199.115</v>
      </c>
      <c r="E44" s="7">
        <v>1277058</v>
      </c>
      <c r="F44" s="7">
        <v>1087</v>
      </c>
      <c r="G44" s="7">
        <v>1277058</v>
      </c>
      <c r="H44" s="7">
        <v>132.154</v>
      </c>
      <c r="I44" s="3" t="s">
        <v>322</v>
      </c>
      <c r="J44" s="7" t="s">
        <v>34</v>
      </c>
      <c r="K44" s="8" t="s">
        <v>143</v>
      </c>
      <c r="L44" s="7">
        <f>H44/4</f>
        <v>33.038499999999999</v>
      </c>
      <c r="M44" s="15" t="s">
        <v>42</v>
      </c>
      <c r="N44" s="7">
        <f t="shared" si="3"/>
        <v>170792.82218243252</v>
      </c>
      <c r="O44" s="7">
        <f>N44/L44</f>
        <v>5169.508972333263</v>
      </c>
      <c r="P44" s="9" t="s">
        <v>39</v>
      </c>
    </row>
    <row r="45" spans="1:16" x14ac:dyDescent="0.25">
      <c r="A45" s="6">
        <v>20</v>
      </c>
      <c r="B45" s="7" t="s">
        <v>85</v>
      </c>
      <c r="C45" s="7">
        <v>831</v>
      </c>
      <c r="D45" s="7">
        <v>1038.511</v>
      </c>
      <c r="E45" s="7">
        <v>863003</v>
      </c>
      <c r="F45" s="7">
        <v>1037</v>
      </c>
      <c r="G45" s="7">
        <v>863003</v>
      </c>
      <c r="H45" s="7">
        <v>103.139</v>
      </c>
      <c r="I45" s="7" t="s">
        <v>23</v>
      </c>
      <c r="J45" s="7"/>
      <c r="K45" s="8" t="s">
        <v>143</v>
      </c>
      <c r="L45" s="7">
        <f t="shared" si="5"/>
        <v>25.784749999999999</v>
      </c>
      <c r="M45" s="14" t="s">
        <v>42</v>
      </c>
      <c r="N45" s="7"/>
      <c r="O45" s="7">
        <f t="shared" si="4"/>
        <v>0</v>
      </c>
      <c r="P45" s="9" t="s">
        <v>39</v>
      </c>
    </row>
    <row r="46" spans="1:16" x14ac:dyDescent="0.25">
      <c r="A46" s="6">
        <v>21</v>
      </c>
      <c r="B46" s="7" t="s">
        <v>86</v>
      </c>
      <c r="C46" s="7">
        <v>770</v>
      </c>
      <c r="D46" s="7">
        <v>1039.17</v>
      </c>
      <c r="E46" s="7">
        <v>800161</v>
      </c>
      <c r="F46" s="7">
        <v>1039</v>
      </c>
      <c r="G46" s="7">
        <v>800161</v>
      </c>
      <c r="H46" s="7">
        <v>95.349000000000004</v>
      </c>
      <c r="I46" s="7" t="s">
        <v>23</v>
      </c>
      <c r="J46" s="7"/>
      <c r="K46" s="8" t="s">
        <v>143</v>
      </c>
      <c r="L46" s="7">
        <f t="shared" si="5"/>
        <v>23.837250000000001</v>
      </c>
      <c r="M46" s="15" t="s">
        <v>42</v>
      </c>
      <c r="N46" s="7"/>
      <c r="O46" s="7">
        <f t="shared" si="4"/>
        <v>0</v>
      </c>
      <c r="P46" s="9" t="s">
        <v>39</v>
      </c>
    </row>
    <row r="47" spans="1:16" x14ac:dyDescent="0.25">
      <c r="A47" s="6">
        <v>22</v>
      </c>
      <c r="B47" s="7" t="s">
        <v>87</v>
      </c>
      <c r="C47" s="7">
        <v>985</v>
      </c>
      <c r="D47" s="7">
        <v>1038.558</v>
      </c>
      <c r="E47" s="7">
        <v>1022980</v>
      </c>
      <c r="F47" s="7">
        <v>1039</v>
      </c>
      <c r="G47" s="7">
        <v>1022980</v>
      </c>
      <c r="H47" s="7">
        <v>122.337</v>
      </c>
      <c r="I47" s="7" t="s">
        <v>23</v>
      </c>
      <c r="J47" s="7"/>
      <c r="K47" s="8" t="s">
        <v>143</v>
      </c>
      <c r="L47" s="7">
        <f t="shared" si="5"/>
        <v>30.584250000000001</v>
      </c>
      <c r="M47" s="14" t="s">
        <v>42</v>
      </c>
      <c r="N47" s="7"/>
      <c r="O47" s="7">
        <f t="shared" si="4"/>
        <v>0</v>
      </c>
      <c r="P47" s="9" t="s">
        <v>39</v>
      </c>
    </row>
    <row r="48" spans="1:16" x14ac:dyDescent="0.25">
      <c r="A48" s="2">
        <v>1</v>
      </c>
      <c r="B48" s="3" t="s">
        <v>89</v>
      </c>
      <c r="C48" s="3">
        <v>1282</v>
      </c>
      <c r="D48" s="3">
        <v>1206.4690000000001</v>
      </c>
      <c r="E48" s="3">
        <v>1546693</v>
      </c>
      <c r="F48" s="3">
        <v>1081</v>
      </c>
      <c r="G48" s="3">
        <v>1546693</v>
      </c>
      <c r="H48" s="3">
        <v>159.41300000000001</v>
      </c>
      <c r="I48" s="3" t="s">
        <v>36</v>
      </c>
      <c r="J48" s="3" t="s">
        <v>34</v>
      </c>
      <c r="K48" s="8" t="s">
        <v>142</v>
      </c>
      <c r="L48" s="3">
        <f>H48/4</f>
        <v>39.853250000000003</v>
      </c>
      <c r="M48" s="3" t="s">
        <v>13</v>
      </c>
      <c r="N48" s="3">
        <f>G48-(((G$58/C$58*C48)+(G$59/C$59*C48)+(G$60/C$60*C48))/3)</f>
        <v>222752.10307088378</v>
      </c>
      <c r="O48" s="3">
        <f>N48/L48</f>
        <v>5589.3083517877149</v>
      </c>
      <c r="P48" s="7" t="s">
        <v>141</v>
      </c>
    </row>
    <row r="49" spans="1:16" x14ac:dyDescent="0.25">
      <c r="A49" s="6">
        <v>2</v>
      </c>
      <c r="B49" s="7" t="s">
        <v>90</v>
      </c>
      <c r="C49" s="7">
        <v>1049</v>
      </c>
      <c r="D49" s="7">
        <v>1119.96</v>
      </c>
      <c r="E49" s="7">
        <v>1174838</v>
      </c>
      <c r="F49" s="7">
        <v>1060</v>
      </c>
      <c r="G49" s="7">
        <v>1174838</v>
      </c>
      <c r="H49" s="7">
        <v>130.17099999999999</v>
      </c>
      <c r="I49" s="7" t="s">
        <v>16</v>
      </c>
      <c r="J49" s="7" t="s">
        <v>34</v>
      </c>
      <c r="K49" s="8" t="s">
        <v>142</v>
      </c>
      <c r="L49" s="7">
        <f>H49/4</f>
        <v>32.542749999999998</v>
      </c>
      <c r="M49" s="7" t="s">
        <v>13</v>
      </c>
      <c r="N49" s="7">
        <f t="shared" ref="N49:N57" si="6">G49-(((G$58/C$58*C49)+(G$59/C$59*C49)+(G$60/C$60*C49))/3)</f>
        <v>91519.746584522072</v>
      </c>
      <c r="O49" s="7">
        <f t="shared" ref="O49:O120" si="7">N49/L49</f>
        <v>2812.29295571278</v>
      </c>
      <c r="P49" s="7" t="s">
        <v>141</v>
      </c>
    </row>
    <row r="50" spans="1:16" x14ac:dyDescent="0.25">
      <c r="A50" s="6">
        <v>3</v>
      </c>
      <c r="B50" s="7" t="s">
        <v>91</v>
      </c>
      <c r="C50" s="7">
        <v>1167</v>
      </c>
      <c r="D50" s="7">
        <v>1172.54</v>
      </c>
      <c r="E50" s="7">
        <v>1368354</v>
      </c>
      <c r="F50" s="7">
        <v>1078</v>
      </c>
      <c r="G50" s="7">
        <v>1368354</v>
      </c>
      <c r="H50" s="7">
        <v>145.49799999999999</v>
      </c>
      <c r="I50" s="7" t="s">
        <v>17</v>
      </c>
      <c r="J50" s="7" t="s">
        <v>34</v>
      </c>
      <c r="K50" s="8" t="s">
        <v>142</v>
      </c>
      <c r="L50" s="7">
        <f t="shared" ref="L50:L73" si="8">H50/4</f>
        <v>36.374499999999998</v>
      </c>
      <c r="M50" s="7" t="s">
        <v>13</v>
      </c>
      <c r="N50" s="7">
        <f t="shared" si="6"/>
        <v>163175.35201538331</v>
      </c>
      <c r="O50" s="7">
        <f t="shared" si="7"/>
        <v>4485.9819933025419</v>
      </c>
      <c r="P50" s="7" t="s">
        <v>141</v>
      </c>
    </row>
    <row r="51" spans="1:16" x14ac:dyDescent="0.25">
      <c r="A51" s="6">
        <v>4</v>
      </c>
      <c r="B51" s="7" t="s">
        <v>92</v>
      </c>
      <c r="C51" s="7">
        <v>1284</v>
      </c>
      <c r="D51" s="7">
        <v>1190.769</v>
      </c>
      <c r="E51" s="7">
        <v>1528948</v>
      </c>
      <c r="F51" s="7">
        <v>1082</v>
      </c>
      <c r="G51" s="7">
        <v>1528948</v>
      </c>
      <c r="H51" s="7">
        <v>159.43600000000001</v>
      </c>
      <c r="I51" s="7" t="s">
        <v>18</v>
      </c>
      <c r="J51" s="7" t="s">
        <v>34</v>
      </c>
      <c r="K51" s="8" t="s">
        <v>142</v>
      </c>
      <c r="L51" s="7">
        <f t="shared" si="8"/>
        <v>39.859000000000002</v>
      </c>
      <c r="M51" s="7" t="s">
        <v>13</v>
      </c>
      <c r="N51" s="7">
        <f t="shared" si="6"/>
        <v>202941.67265445762</v>
      </c>
      <c r="O51" s="7">
        <f t="shared" si="7"/>
        <v>5091.4893162010494</v>
      </c>
      <c r="P51" s="7" t="s">
        <v>141</v>
      </c>
    </row>
    <row r="52" spans="1:16" x14ac:dyDescent="0.25">
      <c r="A52" s="6">
        <v>5</v>
      </c>
      <c r="B52" s="7" t="s">
        <v>93</v>
      </c>
      <c r="C52" s="7">
        <v>915</v>
      </c>
      <c r="D52" s="7">
        <v>1257.059</v>
      </c>
      <c r="E52" s="7">
        <v>1150209</v>
      </c>
      <c r="F52" s="7">
        <v>1105</v>
      </c>
      <c r="G52" s="7">
        <v>1150209</v>
      </c>
      <c r="H52" s="7">
        <v>113.40300000000001</v>
      </c>
      <c r="I52" s="7" t="s">
        <v>19</v>
      </c>
      <c r="J52" s="7" t="s">
        <v>34</v>
      </c>
      <c r="K52" s="8" t="s">
        <v>142</v>
      </c>
      <c r="L52" s="7">
        <f t="shared" si="8"/>
        <v>28.350750000000001</v>
      </c>
      <c r="M52" s="7" t="s">
        <v>13</v>
      </c>
      <c r="N52" s="7">
        <f t="shared" si="6"/>
        <v>205274.58448506927</v>
      </c>
      <c r="O52" s="7">
        <f t="shared" si="7"/>
        <v>7240.5345355967393</v>
      </c>
      <c r="P52" s="7" t="s">
        <v>141</v>
      </c>
    </row>
    <row r="53" spans="1:16" x14ac:dyDescent="0.25">
      <c r="A53" s="6">
        <v>6</v>
      </c>
      <c r="B53" s="7" t="s">
        <v>94</v>
      </c>
      <c r="C53" s="7">
        <v>1030</v>
      </c>
      <c r="D53" s="7">
        <v>1094.4639999999999</v>
      </c>
      <c r="E53" s="7">
        <v>1127298</v>
      </c>
      <c r="F53" s="7">
        <v>1054</v>
      </c>
      <c r="G53" s="7">
        <v>1127298</v>
      </c>
      <c r="H53" s="7">
        <v>128.02199999999999</v>
      </c>
      <c r="I53" s="7" t="s">
        <v>20</v>
      </c>
      <c r="J53" s="7" t="s">
        <v>34</v>
      </c>
      <c r="K53" s="8" t="s">
        <v>142</v>
      </c>
      <c r="L53" s="7">
        <f t="shared" si="8"/>
        <v>32.005499999999998</v>
      </c>
      <c r="M53" s="7" t="s">
        <v>13</v>
      </c>
      <c r="N53" s="7">
        <f t="shared" si="6"/>
        <v>63601.33554056962</v>
      </c>
      <c r="O53" s="7">
        <f t="shared" si="7"/>
        <v>1987.2001856108989</v>
      </c>
      <c r="P53" s="7" t="s">
        <v>141</v>
      </c>
    </row>
    <row r="54" spans="1:16" x14ac:dyDescent="0.25">
      <c r="A54" s="6">
        <v>7</v>
      </c>
      <c r="B54" s="7" t="s">
        <v>95</v>
      </c>
      <c r="C54" s="7">
        <v>1172</v>
      </c>
      <c r="D54" s="7">
        <v>1140.2239999999999</v>
      </c>
      <c r="E54" s="7">
        <v>1336342</v>
      </c>
      <c r="F54" s="7">
        <v>1067</v>
      </c>
      <c r="G54" s="7">
        <v>1336342</v>
      </c>
      <c r="H54" s="7">
        <v>146.05500000000001</v>
      </c>
      <c r="I54" s="7" t="s">
        <v>21</v>
      </c>
      <c r="J54" s="7" t="s">
        <v>34</v>
      </c>
      <c r="K54" s="8" t="s">
        <v>142</v>
      </c>
      <c r="L54" s="7">
        <f t="shared" si="8"/>
        <v>36.513750000000002</v>
      </c>
      <c r="M54" s="7" t="s">
        <v>13</v>
      </c>
      <c r="N54" s="7">
        <f t="shared" si="6"/>
        <v>125999.77597431815</v>
      </c>
      <c r="O54" s="7">
        <f t="shared" si="7"/>
        <v>3450.7487172453707</v>
      </c>
      <c r="P54" s="7" t="s">
        <v>141</v>
      </c>
    </row>
    <row r="55" spans="1:16" x14ac:dyDescent="0.25">
      <c r="A55" s="6">
        <v>8</v>
      </c>
      <c r="B55" s="7" t="s">
        <v>96</v>
      </c>
      <c r="C55" s="7">
        <v>1510</v>
      </c>
      <c r="D55" s="7">
        <v>1272.759</v>
      </c>
      <c r="E55" s="7">
        <v>1921866</v>
      </c>
      <c r="F55" s="7">
        <v>1098</v>
      </c>
      <c r="G55" s="7">
        <v>1921866</v>
      </c>
      <c r="H55" s="7">
        <v>188.215</v>
      </c>
      <c r="I55" s="7" t="s">
        <v>22</v>
      </c>
      <c r="J55" s="7" t="s">
        <v>34</v>
      </c>
      <c r="K55" s="8" t="s">
        <v>142</v>
      </c>
      <c r="L55" s="7">
        <f t="shared" si="8"/>
        <v>47.053750000000001</v>
      </c>
      <c r="M55" s="7" t="s">
        <v>13</v>
      </c>
      <c r="N55" s="7">
        <f>G55-(((G$58/C$58*C55)+(G$59/C$59*C55)+(G$60/C$60*C55))/3)</f>
        <v>362466.03559831087</v>
      </c>
      <c r="O55" s="7">
        <f>N55/L55</f>
        <v>7703.2337613540021</v>
      </c>
      <c r="P55" s="7" t="s">
        <v>141</v>
      </c>
    </row>
    <row r="56" spans="1:16" x14ac:dyDescent="0.25">
      <c r="A56" s="6">
        <v>9</v>
      </c>
      <c r="B56" s="7" t="s">
        <v>97</v>
      </c>
      <c r="C56" s="7">
        <v>1232</v>
      </c>
      <c r="D56" s="7">
        <v>1208.759</v>
      </c>
      <c r="E56" s="7">
        <v>1489191</v>
      </c>
      <c r="F56" s="7">
        <v>1071</v>
      </c>
      <c r="G56" s="7">
        <v>1489191</v>
      </c>
      <c r="H56" s="7">
        <v>153.255</v>
      </c>
      <c r="I56" s="7" t="s">
        <v>24</v>
      </c>
      <c r="J56" s="7" t="s">
        <v>34</v>
      </c>
      <c r="K56" s="8" t="s">
        <v>142</v>
      </c>
      <c r="L56" s="7">
        <f t="shared" si="8"/>
        <v>38.313749999999999</v>
      </c>
      <c r="M56" s="7" t="s">
        <v>13</v>
      </c>
      <c r="N56" s="7">
        <f>G56-(((G$58/C$58*C56)+(G$59/C$59*C56)+(G$60/C$60*C56))/3)</f>
        <v>216885.86348153581</v>
      </c>
      <c r="O56" s="7">
        <f>N56/L56</f>
        <v>5660.7840130902305</v>
      </c>
      <c r="P56" s="7" t="s">
        <v>141</v>
      </c>
    </row>
    <row r="57" spans="1:16" x14ac:dyDescent="0.25">
      <c r="A57" s="6">
        <v>10</v>
      </c>
      <c r="B57" s="7" t="s">
        <v>98</v>
      </c>
      <c r="C57" s="7">
        <v>1321</v>
      </c>
      <c r="D57" s="7">
        <v>1237.165</v>
      </c>
      <c r="E57" s="7">
        <v>1634295</v>
      </c>
      <c r="F57" s="7">
        <v>1075</v>
      </c>
      <c r="G57" s="7">
        <v>1634295</v>
      </c>
      <c r="H57" s="7">
        <v>164.33699999999999</v>
      </c>
      <c r="I57" s="7" t="s">
        <v>25</v>
      </c>
      <c r="J57" s="7" t="s">
        <v>34</v>
      </c>
      <c r="K57" s="8" t="s">
        <v>142</v>
      </c>
      <c r="L57" s="7">
        <f t="shared" si="8"/>
        <v>41.084249999999997</v>
      </c>
      <c r="M57" s="7" t="s">
        <v>13</v>
      </c>
      <c r="N57" s="7">
        <f t="shared" si="6"/>
        <v>270078.20995057537</v>
      </c>
      <c r="O57" s="7">
        <f t="shared" si="7"/>
        <v>6573.7651277697751</v>
      </c>
      <c r="P57" s="7" t="s">
        <v>141</v>
      </c>
    </row>
    <row r="58" spans="1:16" x14ac:dyDescent="0.25">
      <c r="A58" s="6">
        <v>11</v>
      </c>
      <c r="B58" s="7" t="s">
        <v>99</v>
      </c>
      <c r="C58" s="7">
        <v>1122</v>
      </c>
      <c r="D58" s="7">
        <v>1032.7159999999999</v>
      </c>
      <c r="E58" s="7">
        <v>1158707</v>
      </c>
      <c r="F58" s="7">
        <v>1033</v>
      </c>
      <c r="G58" s="7">
        <v>1158707</v>
      </c>
      <c r="H58" s="7">
        <v>139.14099999999999</v>
      </c>
      <c r="I58" s="7" t="s">
        <v>23</v>
      </c>
      <c r="J58" s="7"/>
      <c r="K58" s="8" t="s">
        <v>142</v>
      </c>
      <c r="L58" s="7">
        <f t="shared" si="8"/>
        <v>34.785249999999998</v>
      </c>
      <c r="M58" s="7" t="s">
        <v>13</v>
      </c>
      <c r="N58" s="7"/>
      <c r="O58" s="7">
        <f t="shared" si="7"/>
        <v>0</v>
      </c>
      <c r="P58" s="7" t="s">
        <v>141</v>
      </c>
    </row>
    <row r="59" spans="1:16" x14ac:dyDescent="0.25">
      <c r="A59" s="6">
        <v>12</v>
      </c>
      <c r="B59" s="7" t="s">
        <v>100</v>
      </c>
      <c r="C59" s="7">
        <v>1192</v>
      </c>
      <c r="D59" s="7">
        <v>1032.93</v>
      </c>
      <c r="E59" s="7">
        <v>1231252</v>
      </c>
      <c r="F59" s="7">
        <v>1033</v>
      </c>
      <c r="G59" s="7">
        <v>1231252</v>
      </c>
      <c r="H59" s="7">
        <v>148.173</v>
      </c>
      <c r="I59" s="7" t="s">
        <v>23</v>
      </c>
      <c r="J59" s="7"/>
      <c r="K59" s="8" t="s">
        <v>142</v>
      </c>
      <c r="L59" s="7">
        <f t="shared" si="8"/>
        <v>37.04325</v>
      </c>
      <c r="M59" s="7" t="s">
        <v>13</v>
      </c>
      <c r="N59" s="7"/>
      <c r="O59" s="7">
        <f t="shared" si="7"/>
        <v>0</v>
      </c>
      <c r="P59" s="7" t="s">
        <v>141</v>
      </c>
    </row>
    <row r="60" spans="1:16" x14ac:dyDescent="0.25">
      <c r="A60" s="6">
        <v>13</v>
      </c>
      <c r="B60" s="7" t="s">
        <v>101</v>
      </c>
      <c r="C60" s="7">
        <v>1225</v>
      </c>
      <c r="D60" s="7">
        <v>1032.5</v>
      </c>
      <c r="E60" s="7">
        <v>1264813</v>
      </c>
      <c r="F60" s="7">
        <v>1031</v>
      </c>
      <c r="G60" s="7">
        <v>1264813</v>
      </c>
      <c r="H60" s="7">
        <v>152.91300000000001</v>
      </c>
      <c r="I60" s="7" t="s">
        <v>23</v>
      </c>
      <c r="J60" s="7"/>
      <c r="K60" s="8" t="s">
        <v>142</v>
      </c>
      <c r="L60" s="7">
        <f t="shared" si="8"/>
        <v>38.228250000000003</v>
      </c>
      <c r="M60" s="7" t="s">
        <v>13</v>
      </c>
      <c r="N60" s="7"/>
      <c r="O60" s="7">
        <f t="shared" si="7"/>
        <v>0</v>
      </c>
      <c r="P60" s="7" t="s">
        <v>141</v>
      </c>
    </row>
    <row r="61" spans="1:16" x14ac:dyDescent="0.25">
      <c r="A61" s="2">
        <v>1</v>
      </c>
      <c r="B61" s="3" t="s">
        <v>102</v>
      </c>
      <c r="C61" s="3">
        <v>1074</v>
      </c>
      <c r="D61" s="3">
        <v>1099.9110000000001</v>
      </c>
      <c r="E61" s="3">
        <v>1181304</v>
      </c>
      <c r="F61" s="3">
        <v>1053</v>
      </c>
      <c r="G61" s="3">
        <v>1181304</v>
      </c>
      <c r="H61" s="3">
        <v>133.68299999999999</v>
      </c>
      <c r="I61" s="3" t="s">
        <v>26</v>
      </c>
      <c r="J61" s="3" t="s">
        <v>34</v>
      </c>
      <c r="K61" s="8" t="s">
        <v>142</v>
      </c>
      <c r="L61" s="3">
        <f t="shared" si="8"/>
        <v>33.420749999999998</v>
      </c>
      <c r="M61" s="3" t="s">
        <v>14</v>
      </c>
      <c r="N61" s="3">
        <f>G61-(((G$71/C$71*C61)+(G$72/C$72*C61)+(G$73/C$73*C61))/3)</f>
        <v>70660.435152906924</v>
      </c>
      <c r="O61" s="3">
        <f t="shared" si="7"/>
        <v>2114.26838574559</v>
      </c>
      <c r="P61" s="7" t="s">
        <v>141</v>
      </c>
    </row>
    <row r="62" spans="1:16" x14ac:dyDescent="0.25">
      <c r="A62" s="6">
        <v>2</v>
      </c>
      <c r="B62" s="7" t="s">
        <v>103</v>
      </c>
      <c r="C62" s="7">
        <v>1019</v>
      </c>
      <c r="D62" s="7">
        <v>1085.903</v>
      </c>
      <c r="E62" s="7">
        <v>1106535</v>
      </c>
      <c r="F62" s="7">
        <v>1048</v>
      </c>
      <c r="G62" s="7">
        <v>1106535</v>
      </c>
      <c r="H62" s="7">
        <v>126.413</v>
      </c>
      <c r="I62" s="7" t="s">
        <v>27</v>
      </c>
      <c r="J62" s="7" t="s">
        <v>34</v>
      </c>
      <c r="K62" s="8" t="s">
        <v>142</v>
      </c>
      <c r="L62" s="7">
        <f t="shared" si="8"/>
        <v>31.603249999999999</v>
      </c>
      <c r="M62" s="7" t="s">
        <v>14</v>
      </c>
      <c r="N62" s="7">
        <f>G62-(((G$71/C$71*C62)+(G$72/C$72*C62)+(G$73/C$73*C62))/3)</f>
        <v>52767.967803363455</v>
      </c>
      <c r="O62" s="7">
        <f>N62/L62</f>
        <v>1669.700673296685</v>
      </c>
      <c r="P62" s="7" t="s">
        <v>141</v>
      </c>
    </row>
    <row r="63" spans="1:16" x14ac:dyDescent="0.25">
      <c r="A63" s="6">
        <v>3</v>
      </c>
      <c r="B63" s="7" t="s">
        <v>104</v>
      </c>
      <c r="C63" s="7">
        <v>1308</v>
      </c>
      <c r="D63" s="7">
        <v>1244.856</v>
      </c>
      <c r="E63" s="7">
        <v>1628272</v>
      </c>
      <c r="F63" s="7">
        <v>1104</v>
      </c>
      <c r="G63" s="7">
        <v>1628272</v>
      </c>
      <c r="H63" s="7">
        <v>162.62299999999999</v>
      </c>
      <c r="I63" s="7" t="s">
        <v>28</v>
      </c>
      <c r="J63" s="7" t="s">
        <v>34</v>
      </c>
      <c r="K63" s="8" t="s">
        <v>142</v>
      </c>
      <c r="L63" s="7">
        <f t="shared" si="8"/>
        <v>40.655749999999998</v>
      </c>
      <c r="M63" s="7" t="s">
        <v>14</v>
      </c>
      <c r="N63" s="7">
        <f>G63-(((G$71/C$71*C63)+(G$72/C$72*C63)+(G$73/C$73*C63))/3)</f>
        <v>275644.64169460186</v>
      </c>
      <c r="O63" s="7">
        <f>N63/L63</f>
        <v>6779.9669590304411</v>
      </c>
      <c r="P63" s="7" t="s">
        <v>141</v>
      </c>
    </row>
    <row r="64" spans="1:16" x14ac:dyDescent="0.25">
      <c r="A64" s="6">
        <v>4</v>
      </c>
      <c r="B64" s="7" t="s">
        <v>105</v>
      </c>
      <c r="C64" s="7">
        <v>1447</v>
      </c>
      <c r="D64" s="7">
        <v>1273.5650000000001</v>
      </c>
      <c r="E64" s="7">
        <v>1842849</v>
      </c>
      <c r="F64" s="7">
        <v>1116</v>
      </c>
      <c r="G64" s="7">
        <v>1842849</v>
      </c>
      <c r="H64" s="7">
        <v>179.59399999999999</v>
      </c>
      <c r="I64" s="7" t="s">
        <v>29</v>
      </c>
      <c r="J64" s="7" t="s">
        <v>34</v>
      </c>
      <c r="K64" s="8" t="s">
        <v>142</v>
      </c>
      <c r="L64" s="7">
        <f t="shared" si="8"/>
        <v>44.898499999999999</v>
      </c>
      <c r="M64" s="7" t="s">
        <v>14</v>
      </c>
      <c r="N64" s="7">
        <f t="shared" ref="N64:N69" si="9">G64-(((G$71/C$71*C64)+(G$72/C$72*C64)+(G$73/C$73*C64))/3)</f>
        <v>346479.13190526702</v>
      </c>
      <c r="O64" s="7">
        <f>N64/L64</f>
        <v>7716.9422565401301</v>
      </c>
      <c r="P64" s="7" t="s">
        <v>141</v>
      </c>
    </row>
    <row r="65" spans="1:16" x14ac:dyDescent="0.25">
      <c r="A65" s="6">
        <v>5</v>
      </c>
      <c r="B65" s="7" t="s">
        <v>106</v>
      </c>
      <c r="C65" s="7">
        <v>1143</v>
      </c>
      <c r="D65" s="7">
        <v>1129.9059999999999</v>
      </c>
      <c r="E65" s="7">
        <v>1291482</v>
      </c>
      <c r="F65" s="7">
        <v>1066</v>
      </c>
      <c r="G65" s="7">
        <v>1291482</v>
      </c>
      <c r="H65" s="7">
        <v>142.38900000000001</v>
      </c>
      <c r="I65" s="7" t="s">
        <v>35</v>
      </c>
      <c r="J65" s="7" t="s">
        <v>34</v>
      </c>
      <c r="K65" s="8" t="s">
        <v>142</v>
      </c>
      <c r="L65" s="7">
        <f t="shared" si="8"/>
        <v>35.597250000000003</v>
      </c>
      <c r="M65" s="7" t="s">
        <v>14</v>
      </c>
      <c r="N65" s="7">
        <f t="shared" si="9"/>
        <v>109484.23964597099</v>
      </c>
      <c r="O65" s="7">
        <f>N65/L65</f>
        <v>3075.6375744185571</v>
      </c>
      <c r="P65" s="7" t="s">
        <v>141</v>
      </c>
    </row>
    <row r="66" spans="1:16" x14ac:dyDescent="0.25">
      <c r="A66" s="6">
        <v>6</v>
      </c>
      <c r="B66" s="7" t="s">
        <v>107</v>
      </c>
      <c r="C66" s="7">
        <v>1011</v>
      </c>
      <c r="D66" s="7">
        <v>1102.376</v>
      </c>
      <c r="E66" s="7">
        <v>1114502</v>
      </c>
      <c r="F66" s="7">
        <v>1057</v>
      </c>
      <c r="G66" s="7">
        <v>1114502</v>
      </c>
      <c r="H66" s="7">
        <v>125.556</v>
      </c>
      <c r="I66" s="7" t="s">
        <v>30</v>
      </c>
      <c r="J66" s="7" t="s">
        <v>34</v>
      </c>
      <c r="K66" s="8" t="s">
        <v>142</v>
      </c>
      <c r="L66" s="7">
        <f t="shared" si="8"/>
        <v>31.388999999999999</v>
      </c>
      <c r="M66" s="7" t="s">
        <v>14</v>
      </c>
      <c r="N66" s="7">
        <f t="shared" si="9"/>
        <v>69007.918007066124</v>
      </c>
      <c r="O66" s="7">
        <f t="shared" si="7"/>
        <v>2198.4745613771106</v>
      </c>
      <c r="P66" s="7" t="s">
        <v>141</v>
      </c>
    </row>
    <row r="67" spans="1:16" x14ac:dyDescent="0.25">
      <c r="A67" s="6">
        <v>7</v>
      </c>
      <c r="B67" s="7" t="s">
        <v>108</v>
      </c>
      <c r="C67" s="7">
        <v>1248</v>
      </c>
      <c r="D67" s="7">
        <v>1224.7070000000001</v>
      </c>
      <c r="E67" s="7">
        <v>1528434</v>
      </c>
      <c r="F67" s="7">
        <v>1094</v>
      </c>
      <c r="G67" s="7">
        <v>1528434</v>
      </c>
      <c r="H67" s="7">
        <v>155.62100000000001</v>
      </c>
      <c r="I67" s="7" t="s">
        <v>31</v>
      </c>
      <c r="J67" s="7" t="s">
        <v>34</v>
      </c>
      <c r="K67" s="8" t="s">
        <v>142</v>
      </c>
      <c r="L67" s="7">
        <f t="shared" si="8"/>
        <v>38.905250000000002</v>
      </c>
      <c r="M67" s="7" t="s">
        <v>14</v>
      </c>
      <c r="N67" s="7">
        <f t="shared" si="9"/>
        <v>237853.76822237251</v>
      </c>
      <c r="O67" s="7">
        <f>N67/L67</f>
        <v>6113.667646972388</v>
      </c>
      <c r="P67" s="7" t="s">
        <v>141</v>
      </c>
    </row>
    <row r="68" spans="1:16" x14ac:dyDescent="0.25">
      <c r="A68" s="6">
        <v>8</v>
      </c>
      <c r="B68" s="7" t="s">
        <v>109</v>
      </c>
      <c r="C68" s="7">
        <v>1354</v>
      </c>
      <c r="D68" s="7">
        <v>1408.1379999999999</v>
      </c>
      <c r="E68" s="7">
        <v>1906619</v>
      </c>
      <c r="F68" s="7">
        <v>1129</v>
      </c>
      <c r="G68" s="7">
        <v>1906619</v>
      </c>
      <c r="H68" s="7">
        <v>168.13900000000001</v>
      </c>
      <c r="I68" s="7" t="s">
        <v>32</v>
      </c>
      <c r="J68" s="7" t="s">
        <v>34</v>
      </c>
      <c r="K68" s="8" t="s">
        <v>142</v>
      </c>
      <c r="L68" s="7">
        <f t="shared" si="8"/>
        <v>42.034750000000003</v>
      </c>
      <c r="M68" s="7" t="s">
        <v>14</v>
      </c>
      <c r="N68" s="7">
        <f t="shared" si="9"/>
        <v>506422.17802331108</v>
      </c>
      <c r="O68" s="7">
        <f>N68/L68</f>
        <v>12047.702865446114</v>
      </c>
      <c r="P68" s="7" t="s">
        <v>141</v>
      </c>
    </row>
    <row r="69" spans="1:16" x14ac:dyDescent="0.25">
      <c r="A69" s="6">
        <v>9</v>
      </c>
      <c r="B69" s="7" t="s">
        <v>110</v>
      </c>
      <c r="C69" s="7">
        <v>1321</v>
      </c>
      <c r="D69" s="7">
        <v>1205.69</v>
      </c>
      <c r="E69" s="7">
        <v>1592716</v>
      </c>
      <c r="F69" s="7">
        <v>1085</v>
      </c>
      <c r="G69" s="7">
        <v>1592716</v>
      </c>
      <c r="H69" s="7">
        <v>164.209</v>
      </c>
      <c r="I69" s="7" t="s">
        <v>38</v>
      </c>
      <c r="J69" s="7" t="s">
        <v>34</v>
      </c>
      <c r="K69" s="8" t="s">
        <v>142</v>
      </c>
      <c r="L69" s="7">
        <f>H69/4</f>
        <v>41.052250000000001</v>
      </c>
      <c r="M69" s="7" t="s">
        <v>14</v>
      </c>
      <c r="N69" s="7">
        <f t="shared" si="9"/>
        <v>226645.09761358495</v>
      </c>
      <c r="O69" s="7">
        <f>N69/L69</f>
        <v>5520.8934373532493</v>
      </c>
      <c r="P69" s="7" t="s">
        <v>141</v>
      </c>
    </row>
    <row r="70" spans="1:16" x14ac:dyDescent="0.25">
      <c r="A70" s="6">
        <v>10</v>
      </c>
      <c r="B70" s="7" t="s">
        <v>111</v>
      </c>
      <c r="C70" s="7">
        <v>909</v>
      </c>
      <c r="D70" s="7">
        <v>1061.6369999999999</v>
      </c>
      <c r="E70" s="7">
        <v>965028</v>
      </c>
      <c r="F70" s="7">
        <v>1041</v>
      </c>
      <c r="G70" s="7">
        <v>965028</v>
      </c>
      <c r="H70" s="7">
        <v>112.801</v>
      </c>
      <c r="I70" s="7" t="s">
        <v>33</v>
      </c>
      <c r="J70" s="7" t="s">
        <v>34</v>
      </c>
      <c r="K70" s="8" t="s">
        <v>142</v>
      </c>
      <c r="L70" s="7">
        <f>H70/4</f>
        <v>28.20025</v>
      </c>
      <c r="M70" s="7" t="s">
        <v>14</v>
      </c>
      <c r="N70" s="7">
        <f>G70-(((G$71/C$71*C70)+(G$72/C$72*C70)+(G$73/C$73*C70))/3)</f>
        <v>25014.033104275935</v>
      </c>
      <c r="O70" s="7">
        <f>N70/L70</f>
        <v>887.01458690174502</v>
      </c>
      <c r="P70" s="7" t="s">
        <v>141</v>
      </c>
    </row>
    <row r="71" spans="1:16" x14ac:dyDescent="0.25">
      <c r="A71" s="6">
        <v>11</v>
      </c>
      <c r="B71" s="7" t="s">
        <v>112</v>
      </c>
      <c r="C71" s="7">
        <v>1351</v>
      </c>
      <c r="D71" s="7">
        <v>1036.4739999999999</v>
      </c>
      <c r="E71" s="7">
        <v>1400277</v>
      </c>
      <c r="F71" s="7">
        <v>1036</v>
      </c>
      <c r="G71" s="7">
        <v>1400277</v>
      </c>
      <c r="H71" s="7">
        <v>167.88300000000001</v>
      </c>
      <c r="I71" s="7" t="s">
        <v>23</v>
      </c>
      <c r="J71" s="7"/>
      <c r="K71" s="8" t="s">
        <v>142</v>
      </c>
      <c r="L71" s="7">
        <f t="shared" si="8"/>
        <v>41.970750000000002</v>
      </c>
      <c r="M71" s="7" t="s">
        <v>14</v>
      </c>
      <c r="N71" s="7"/>
      <c r="O71" s="7">
        <f t="shared" si="7"/>
        <v>0</v>
      </c>
      <c r="P71" s="7" t="s">
        <v>141</v>
      </c>
    </row>
    <row r="72" spans="1:16" x14ac:dyDescent="0.25">
      <c r="A72" s="6">
        <v>12</v>
      </c>
      <c r="B72" s="7" t="s">
        <v>113</v>
      </c>
      <c r="C72" s="7">
        <v>1447</v>
      </c>
      <c r="D72" s="7">
        <v>1031.3630000000001</v>
      </c>
      <c r="E72" s="7">
        <v>1492382</v>
      </c>
      <c r="F72" s="7">
        <v>1031</v>
      </c>
      <c r="G72" s="7">
        <v>1492382</v>
      </c>
      <c r="H72" s="7">
        <v>180.21</v>
      </c>
      <c r="I72" s="7" t="s">
        <v>23</v>
      </c>
      <c r="J72" s="7"/>
      <c r="K72" s="8" t="s">
        <v>142</v>
      </c>
      <c r="L72" s="7">
        <f t="shared" si="8"/>
        <v>45.052500000000002</v>
      </c>
      <c r="M72" s="7" t="s">
        <v>14</v>
      </c>
      <c r="N72" s="7"/>
      <c r="O72" s="7">
        <f t="shared" si="7"/>
        <v>0</v>
      </c>
      <c r="P72" s="7" t="s">
        <v>141</v>
      </c>
    </row>
    <row r="73" spans="1:16" x14ac:dyDescent="0.25">
      <c r="A73" s="6">
        <v>13</v>
      </c>
      <c r="B73" s="7" t="s">
        <v>114</v>
      </c>
      <c r="C73" s="7">
        <v>1129</v>
      </c>
      <c r="D73" s="7">
        <v>1034.519</v>
      </c>
      <c r="E73" s="7">
        <v>1167972</v>
      </c>
      <c r="F73" s="7">
        <v>1034</v>
      </c>
      <c r="G73" s="7">
        <v>1167972</v>
      </c>
      <c r="H73" s="7">
        <v>140.87799999999999</v>
      </c>
      <c r="I73" s="7" t="s">
        <v>23</v>
      </c>
      <c r="J73" s="7"/>
      <c r="K73" s="8" t="s">
        <v>142</v>
      </c>
      <c r="L73" s="7">
        <f t="shared" si="8"/>
        <v>35.219499999999996</v>
      </c>
      <c r="M73" s="7" t="s">
        <v>14</v>
      </c>
      <c r="N73" s="7"/>
      <c r="O73" s="7">
        <f t="shared" si="7"/>
        <v>0</v>
      </c>
      <c r="P73" s="7" t="s">
        <v>141</v>
      </c>
    </row>
    <row r="74" spans="1:16" x14ac:dyDescent="0.25">
      <c r="A74" s="2">
        <v>1</v>
      </c>
      <c r="B74" s="3" t="s">
        <v>115</v>
      </c>
      <c r="C74" s="3">
        <v>1304</v>
      </c>
      <c r="D74" s="3">
        <v>1068.1969999999999</v>
      </c>
      <c r="E74" s="3">
        <v>1392929</v>
      </c>
      <c r="F74" s="3">
        <v>1048</v>
      </c>
      <c r="G74" s="3">
        <v>1392929</v>
      </c>
      <c r="H74" s="3">
        <v>162.47800000000001</v>
      </c>
      <c r="I74" s="3" t="s">
        <v>303</v>
      </c>
      <c r="J74" s="3" t="s">
        <v>34</v>
      </c>
      <c r="K74" s="8" t="s">
        <v>143</v>
      </c>
      <c r="L74" s="3">
        <f t="shared" ref="L74:L86" si="10">H74/4</f>
        <v>40.619500000000002</v>
      </c>
      <c r="M74" s="3" t="s">
        <v>41</v>
      </c>
      <c r="N74" s="3">
        <f>G74-(((G$84/C$84*C74)+(G$85/C$85*C74)+(G$86/C$86*C74))/3)</f>
        <v>46772.100051848218</v>
      </c>
      <c r="O74" s="3">
        <f>N74/L74</f>
        <v>1151.4691232498731</v>
      </c>
      <c r="P74" s="7" t="s">
        <v>141</v>
      </c>
    </row>
    <row r="75" spans="1:16" x14ac:dyDescent="0.25">
      <c r="A75" s="6">
        <v>2</v>
      </c>
      <c r="B75" s="7" t="s">
        <v>116</v>
      </c>
      <c r="C75" s="7">
        <v>1161</v>
      </c>
      <c r="D75" s="7">
        <v>1131.4290000000001</v>
      </c>
      <c r="E75" s="7">
        <v>1313589</v>
      </c>
      <c r="F75" s="7">
        <v>1066</v>
      </c>
      <c r="G75" s="7">
        <v>1313589</v>
      </c>
      <c r="H75" s="7">
        <v>144.02600000000001</v>
      </c>
      <c r="I75" s="3" t="s">
        <v>304</v>
      </c>
      <c r="J75" s="7" t="s">
        <v>34</v>
      </c>
      <c r="K75" s="8" t="s">
        <v>143</v>
      </c>
      <c r="L75" s="7">
        <f t="shared" si="10"/>
        <v>36.006500000000003</v>
      </c>
      <c r="M75" s="7" t="s">
        <v>41</v>
      </c>
      <c r="N75" s="7">
        <f t="shared" ref="N75:N81" si="11">G75-(((G$84/C$84*C75)+(G$85/C$85*C75)+(G$86/C$86*C75))/3)</f>
        <v>115055.13432530384</v>
      </c>
      <c r="O75" s="7">
        <f>N75/L75</f>
        <v>3195.3990064378327</v>
      </c>
      <c r="P75" s="7" t="s">
        <v>141</v>
      </c>
    </row>
    <row r="76" spans="1:16" x14ac:dyDescent="0.25">
      <c r="A76" s="6">
        <v>3</v>
      </c>
      <c r="B76" s="7" t="s">
        <v>117</v>
      </c>
      <c r="C76" s="7">
        <v>1131</v>
      </c>
      <c r="D76" s="7">
        <v>1153.5060000000001</v>
      </c>
      <c r="E76" s="7">
        <v>1304615</v>
      </c>
      <c r="F76" s="7">
        <v>1067</v>
      </c>
      <c r="G76" s="7">
        <v>1304615</v>
      </c>
      <c r="H76" s="7">
        <v>140.09299999999999</v>
      </c>
      <c r="I76" s="3" t="s">
        <v>305</v>
      </c>
      <c r="J76" s="7" t="s">
        <v>34</v>
      </c>
      <c r="K76" s="8" t="s">
        <v>143</v>
      </c>
      <c r="L76" s="7">
        <f t="shared" si="10"/>
        <v>35.023249999999997</v>
      </c>
      <c r="M76" s="7" t="s">
        <v>41</v>
      </c>
      <c r="N76" s="7">
        <f t="shared" si="11"/>
        <v>137051.0016553991</v>
      </c>
      <c r="O76" s="7">
        <f>N76/L76</f>
        <v>3913.1434591421157</v>
      </c>
      <c r="P76" s="7" t="s">
        <v>141</v>
      </c>
    </row>
    <row r="77" spans="1:16" x14ac:dyDescent="0.25">
      <c r="A77" s="6">
        <v>4</v>
      </c>
      <c r="B77" s="7" t="s">
        <v>118</v>
      </c>
      <c r="C77" s="7">
        <v>1285</v>
      </c>
      <c r="D77" s="7">
        <v>1161.7360000000001</v>
      </c>
      <c r="E77" s="7">
        <v>1492831</v>
      </c>
      <c r="F77" s="7">
        <v>1070</v>
      </c>
      <c r="G77" s="7">
        <v>1492831</v>
      </c>
      <c r="H77" s="7">
        <v>159.74</v>
      </c>
      <c r="I77" s="3" t="s">
        <v>306</v>
      </c>
      <c r="J77" s="7" t="s">
        <v>34</v>
      </c>
      <c r="K77" s="8" t="s">
        <v>143</v>
      </c>
      <c r="L77" s="7">
        <f t="shared" si="10"/>
        <v>39.935000000000002</v>
      </c>
      <c r="M77" s="7" t="s">
        <v>41</v>
      </c>
      <c r="N77" s="7">
        <f t="shared" si="11"/>
        <v>166288.34936090861</v>
      </c>
      <c r="O77" s="7">
        <f>N77/L77</f>
        <v>4163.9751937124984</v>
      </c>
      <c r="P77" s="7" t="s">
        <v>141</v>
      </c>
    </row>
    <row r="78" spans="1:16" x14ac:dyDescent="0.25">
      <c r="A78" s="6">
        <v>5</v>
      </c>
      <c r="B78" s="7" t="s">
        <v>119</v>
      </c>
      <c r="C78" s="7">
        <v>1394</v>
      </c>
      <c r="D78" s="7">
        <v>1261.307</v>
      </c>
      <c r="E78" s="7">
        <v>1758262</v>
      </c>
      <c r="F78" s="7">
        <v>1081</v>
      </c>
      <c r="G78" s="7">
        <v>1758262</v>
      </c>
      <c r="H78" s="7">
        <v>172.88300000000001</v>
      </c>
      <c r="I78" s="3" t="s">
        <v>307</v>
      </c>
      <c r="J78" s="7" t="s">
        <v>34</v>
      </c>
      <c r="K78" s="8" t="s">
        <v>143</v>
      </c>
      <c r="L78" s="7">
        <f t="shared" si="10"/>
        <v>43.220750000000002</v>
      </c>
      <c r="M78" s="7" t="s">
        <v>41</v>
      </c>
      <c r="N78" s="7">
        <f t="shared" si="11"/>
        <v>319195.49806156196</v>
      </c>
      <c r="O78" s="7">
        <f t="shared" si="7"/>
        <v>7385.2373700493845</v>
      </c>
      <c r="P78" s="7" t="s">
        <v>141</v>
      </c>
    </row>
    <row r="79" spans="1:16" x14ac:dyDescent="0.25">
      <c r="A79" s="6">
        <v>6</v>
      </c>
      <c r="B79" s="7" t="s">
        <v>120</v>
      </c>
      <c r="C79" s="7">
        <v>1041</v>
      </c>
      <c r="D79" s="7">
        <v>1091.4280000000001</v>
      </c>
      <c r="E79" s="7">
        <v>1136177</v>
      </c>
      <c r="F79" s="7">
        <v>1057</v>
      </c>
      <c r="G79" s="7">
        <v>1136177</v>
      </c>
      <c r="H79" s="7">
        <v>129.09899999999999</v>
      </c>
      <c r="I79" s="3" t="s">
        <v>308</v>
      </c>
      <c r="J79" s="7" t="s">
        <v>34</v>
      </c>
      <c r="K79" s="8" t="s">
        <v>143</v>
      </c>
      <c r="L79" s="7">
        <f t="shared" si="10"/>
        <v>32.274749999999997</v>
      </c>
      <c r="M79" s="7" t="s">
        <v>41</v>
      </c>
      <c r="N79" s="7">
        <f t="shared" si="11"/>
        <v>61522.603645685595</v>
      </c>
      <c r="O79" s="7">
        <f t="shared" si="7"/>
        <v>1906.2147234505487</v>
      </c>
      <c r="P79" s="7" t="s">
        <v>141</v>
      </c>
    </row>
    <row r="80" spans="1:16" x14ac:dyDescent="0.25">
      <c r="A80" s="6">
        <v>7</v>
      </c>
      <c r="B80" s="7" t="s">
        <v>121</v>
      </c>
      <c r="C80" s="7">
        <v>1362</v>
      </c>
      <c r="D80" s="7">
        <v>1136.3579999999999</v>
      </c>
      <c r="E80" s="7">
        <v>1547719</v>
      </c>
      <c r="F80" s="7">
        <v>1067</v>
      </c>
      <c r="G80" s="7">
        <v>1547719</v>
      </c>
      <c r="H80" s="7">
        <v>169.23699999999999</v>
      </c>
      <c r="I80" s="3" t="s">
        <v>309</v>
      </c>
      <c r="J80" s="7" t="s">
        <v>34</v>
      </c>
      <c r="K80" s="8" t="s">
        <v>143</v>
      </c>
      <c r="L80" s="7">
        <f t="shared" si="10"/>
        <v>42.309249999999999</v>
      </c>
      <c r="M80" s="7" t="s">
        <v>41</v>
      </c>
      <c r="N80" s="7">
        <f t="shared" si="11"/>
        <v>141687.02321366337</v>
      </c>
      <c r="O80" s="7">
        <f t="shared" si="7"/>
        <v>3348.8427049324528</v>
      </c>
      <c r="P80" s="7" t="s">
        <v>141</v>
      </c>
    </row>
    <row r="81" spans="1:16" x14ac:dyDescent="0.25">
      <c r="A81" s="6">
        <v>8</v>
      </c>
      <c r="B81" s="7" t="s">
        <v>122</v>
      </c>
      <c r="C81" s="7">
        <v>1488</v>
      </c>
      <c r="D81" s="7">
        <v>1125.5999999999999</v>
      </c>
      <c r="E81" s="7">
        <v>1674893</v>
      </c>
      <c r="F81" s="7">
        <v>1069</v>
      </c>
      <c r="G81" s="7">
        <v>1674893</v>
      </c>
      <c r="H81" s="7">
        <v>185.18899999999999</v>
      </c>
      <c r="I81" s="3" t="s">
        <v>310</v>
      </c>
      <c r="J81" s="7" t="s">
        <v>34</v>
      </c>
      <c r="K81" s="8" t="s">
        <v>143</v>
      </c>
      <c r="L81" s="7">
        <f t="shared" si="10"/>
        <v>46.297249999999998</v>
      </c>
      <c r="M81" s="7" t="s">
        <v>41</v>
      </c>
      <c r="N81" s="7">
        <f t="shared" si="11"/>
        <v>138787.5804272627</v>
      </c>
      <c r="O81" s="7">
        <f t="shared" si="7"/>
        <v>2997.7499835792128</v>
      </c>
      <c r="P81" s="7" t="s">
        <v>141</v>
      </c>
    </row>
    <row r="82" spans="1:16" x14ac:dyDescent="0.25">
      <c r="A82" s="6">
        <v>9</v>
      </c>
      <c r="B82" s="7" t="s">
        <v>123</v>
      </c>
      <c r="C82" s="7">
        <v>1432</v>
      </c>
      <c r="D82" s="7">
        <v>1143.953</v>
      </c>
      <c r="E82" s="7">
        <v>1638141</v>
      </c>
      <c r="F82" s="7">
        <v>1071</v>
      </c>
      <c r="G82" s="7">
        <v>1638141</v>
      </c>
      <c r="H82" s="7">
        <v>177.99700000000001</v>
      </c>
      <c r="I82" s="3" t="s">
        <v>311</v>
      </c>
      <c r="J82" s="7" t="s">
        <v>34</v>
      </c>
      <c r="K82" s="8" t="s">
        <v>143</v>
      </c>
      <c r="L82" s="7">
        <f t="shared" si="10"/>
        <v>44.499250000000004</v>
      </c>
      <c r="M82" s="7" t="s">
        <v>41</v>
      </c>
      <c r="N82" s="7">
        <f>G82-(((G$84/C$84*C82)+(G$85/C$85*C82)+(G$86/C$86*C82))/3)</f>
        <v>159845.9994434407</v>
      </c>
      <c r="O82" s="7">
        <f>N82/L82</f>
        <v>3592.1054724167416</v>
      </c>
      <c r="P82" s="7" t="s">
        <v>141</v>
      </c>
    </row>
    <row r="83" spans="1:16" x14ac:dyDescent="0.25">
      <c r="A83" s="6">
        <v>10</v>
      </c>
      <c r="B83" s="7" t="s">
        <v>124</v>
      </c>
      <c r="C83" s="7">
        <v>1303</v>
      </c>
      <c r="D83" s="7">
        <v>1082.259</v>
      </c>
      <c r="E83" s="7">
        <v>1410184</v>
      </c>
      <c r="F83" s="7">
        <v>1047</v>
      </c>
      <c r="G83" s="7">
        <v>1410184</v>
      </c>
      <c r="H83" s="7">
        <v>161.83500000000001</v>
      </c>
      <c r="I83" s="3" t="s">
        <v>312</v>
      </c>
      <c r="J83" s="7" t="s">
        <v>34</v>
      </c>
      <c r="K83" s="8" t="s">
        <v>143</v>
      </c>
      <c r="L83" s="7">
        <f t="shared" si="10"/>
        <v>40.458750000000002</v>
      </c>
      <c r="M83" s="7" t="s">
        <v>41</v>
      </c>
      <c r="N83" s="7">
        <f>G83-(((G$84/C$84*C83)+(G$85/C$85*C83)+(G$86/C$86*C83))/3)</f>
        <v>65059.428962851409</v>
      </c>
      <c r="O83" s="7">
        <f>N83/L83</f>
        <v>1608.0434754620794</v>
      </c>
      <c r="P83" s="7" t="s">
        <v>141</v>
      </c>
    </row>
    <row r="84" spans="1:16" x14ac:dyDescent="0.25">
      <c r="A84" s="6">
        <v>11</v>
      </c>
      <c r="B84" s="7" t="s">
        <v>125</v>
      </c>
      <c r="C84" s="7">
        <v>1370</v>
      </c>
      <c r="D84" s="7">
        <v>1031.818</v>
      </c>
      <c r="E84" s="7">
        <v>1413590</v>
      </c>
      <c r="F84" s="7">
        <v>1031</v>
      </c>
      <c r="G84" s="7">
        <v>1413590</v>
      </c>
      <c r="H84" s="7">
        <v>170.78700000000001</v>
      </c>
      <c r="I84" s="7" t="s">
        <v>23</v>
      </c>
      <c r="J84" s="7"/>
      <c r="K84" s="8" t="s">
        <v>143</v>
      </c>
      <c r="L84" s="7">
        <f t="shared" si="10"/>
        <v>42.696750000000002</v>
      </c>
      <c r="M84" s="7" t="s">
        <v>41</v>
      </c>
      <c r="N84" s="7"/>
      <c r="O84" s="7">
        <f t="shared" si="7"/>
        <v>0</v>
      </c>
      <c r="P84" s="7" t="s">
        <v>141</v>
      </c>
    </row>
    <row r="85" spans="1:16" x14ac:dyDescent="0.25">
      <c r="A85" s="6">
        <v>12</v>
      </c>
      <c r="B85" s="7" t="s">
        <v>126</v>
      </c>
      <c r="C85" s="7">
        <v>1360</v>
      </c>
      <c r="D85" s="7">
        <v>1033.8150000000001</v>
      </c>
      <c r="E85" s="7">
        <v>1405989</v>
      </c>
      <c r="F85" s="7">
        <v>1034</v>
      </c>
      <c r="G85" s="7">
        <v>1405989</v>
      </c>
      <c r="H85" s="7">
        <v>169.05799999999999</v>
      </c>
      <c r="I85" s="7" t="s">
        <v>23</v>
      </c>
      <c r="J85" s="7"/>
      <c r="K85" s="8" t="s">
        <v>143</v>
      </c>
      <c r="L85" s="7">
        <f t="shared" si="10"/>
        <v>42.264499999999998</v>
      </c>
      <c r="M85" s="7" t="s">
        <v>41</v>
      </c>
      <c r="N85" s="7"/>
      <c r="O85" s="7">
        <f t="shared" si="7"/>
        <v>0</v>
      </c>
      <c r="P85" s="7" t="s">
        <v>141</v>
      </c>
    </row>
    <row r="86" spans="1:16" x14ac:dyDescent="0.25">
      <c r="A86" s="10">
        <v>13</v>
      </c>
      <c r="B86" s="11" t="s">
        <v>127</v>
      </c>
      <c r="C86" s="11">
        <v>1272</v>
      </c>
      <c r="D86" s="11">
        <v>1031.354</v>
      </c>
      <c r="E86" s="11">
        <v>1311882</v>
      </c>
      <c r="F86" s="11">
        <v>1031</v>
      </c>
      <c r="G86" s="11">
        <v>1311882</v>
      </c>
      <c r="H86" s="11">
        <v>157.74600000000001</v>
      </c>
      <c r="I86" s="11" t="s">
        <v>23</v>
      </c>
      <c r="J86" s="11"/>
      <c r="K86" s="8" t="s">
        <v>143</v>
      </c>
      <c r="L86" s="7">
        <f t="shared" si="10"/>
        <v>39.436500000000002</v>
      </c>
      <c r="M86" s="11" t="s">
        <v>41</v>
      </c>
      <c r="N86" s="11"/>
      <c r="O86" s="11">
        <f t="shared" si="7"/>
        <v>0</v>
      </c>
      <c r="P86" s="7" t="s">
        <v>141</v>
      </c>
    </row>
    <row r="87" spans="1:16" x14ac:dyDescent="0.25">
      <c r="A87" s="2">
        <v>1</v>
      </c>
      <c r="B87" s="3" t="s">
        <v>128</v>
      </c>
      <c r="C87" s="3">
        <v>1190</v>
      </c>
      <c r="D87" s="3">
        <v>1106.655</v>
      </c>
      <c r="E87" s="3">
        <v>1316919</v>
      </c>
      <c r="F87" s="3">
        <v>1062</v>
      </c>
      <c r="G87" s="3">
        <v>1316919</v>
      </c>
      <c r="H87" s="3">
        <v>147.11199999999999</v>
      </c>
      <c r="I87" s="3" t="s">
        <v>313</v>
      </c>
      <c r="J87" s="3" t="s">
        <v>34</v>
      </c>
      <c r="K87" s="8" t="s">
        <v>143</v>
      </c>
      <c r="L87" s="7">
        <f t="shared" ref="L87:L112" si="12">H87/4</f>
        <v>36.777999999999999</v>
      </c>
      <c r="M87" s="3" t="s">
        <v>42</v>
      </c>
      <c r="N87" s="3">
        <f t="shared" ref="N87:N96" si="13">G87-(((G$97/C$97*C87)+(G$98/C$98*C87)+(G$99/C$99*C87))/3)</f>
        <v>87586.979196775472</v>
      </c>
      <c r="O87" s="3">
        <f t="shared" si="7"/>
        <v>2381.5046820592602</v>
      </c>
      <c r="P87" s="7" t="s">
        <v>141</v>
      </c>
    </row>
    <row r="88" spans="1:16" x14ac:dyDescent="0.25">
      <c r="A88" s="6">
        <v>2</v>
      </c>
      <c r="B88" s="7" t="s">
        <v>129</v>
      </c>
      <c r="C88" s="7">
        <v>1033</v>
      </c>
      <c r="D88" s="7">
        <v>1078.6279999999999</v>
      </c>
      <c r="E88" s="7">
        <v>1114223</v>
      </c>
      <c r="F88" s="7">
        <v>1046</v>
      </c>
      <c r="G88" s="7">
        <v>1114223</v>
      </c>
      <c r="H88" s="7">
        <v>128.565</v>
      </c>
      <c r="I88" s="3" t="s">
        <v>314</v>
      </c>
      <c r="J88" s="7" t="s">
        <v>34</v>
      </c>
      <c r="K88" s="8" t="s">
        <v>143</v>
      </c>
      <c r="L88" s="7">
        <f t="shared" si="12"/>
        <v>32.141249999999999</v>
      </c>
      <c r="M88" s="7" t="s">
        <v>42</v>
      </c>
      <c r="N88" s="7">
        <f t="shared" si="13"/>
        <v>47080.161773335189</v>
      </c>
      <c r="O88" s="7">
        <f t="shared" si="7"/>
        <v>1464.7893835284933</v>
      </c>
      <c r="P88" s="7" t="s">
        <v>141</v>
      </c>
    </row>
    <row r="89" spans="1:16" x14ac:dyDescent="0.25">
      <c r="A89" s="6">
        <v>3</v>
      </c>
      <c r="B89" s="7" t="s">
        <v>130</v>
      </c>
      <c r="C89" s="7">
        <v>1291</v>
      </c>
      <c r="D89" s="7">
        <v>1098.47</v>
      </c>
      <c r="E89" s="7">
        <v>1418125</v>
      </c>
      <c r="F89" s="7">
        <v>1056</v>
      </c>
      <c r="G89" s="7">
        <v>1418125</v>
      </c>
      <c r="H89" s="7">
        <v>160.602</v>
      </c>
      <c r="I89" s="3" t="s">
        <v>315</v>
      </c>
      <c r="J89" s="7" t="s">
        <v>34</v>
      </c>
      <c r="K89" s="8" t="s">
        <v>143</v>
      </c>
      <c r="L89" s="7">
        <f t="shared" si="12"/>
        <v>40.150500000000001</v>
      </c>
      <c r="M89" s="7" t="s">
        <v>42</v>
      </c>
      <c r="N89" s="7">
        <f t="shared" si="13"/>
        <v>84454.715246249456</v>
      </c>
      <c r="O89" s="7">
        <f>N89/L89</f>
        <v>2103.4536368475974</v>
      </c>
      <c r="P89" s="7" t="s">
        <v>141</v>
      </c>
    </row>
    <row r="90" spans="1:16" x14ac:dyDescent="0.25">
      <c r="A90" s="6">
        <v>4</v>
      </c>
      <c r="B90" s="7" t="s">
        <v>131</v>
      </c>
      <c r="C90" s="7">
        <v>1123</v>
      </c>
      <c r="D90" s="7">
        <v>1147.9259999999999</v>
      </c>
      <c r="E90" s="7">
        <v>1289121</v>
      </c>
      <c r="F90" s="7">
        <v>1070</v>
      </c>
      <c r="G90" s="7">
        <v>1289121</v>
      </c>
      <c r="H90" s="7">
        <v>139.47800000000001</v>
      </c>
      <c r="I90" s="3" t="s">
        <v>316</v>
      </c>
      <c r="J90" s="7" t="s">
        <v>34</v>
      </c>
      <c r="K90" s="8" t="s">
        <v>143</v>
      </c>
      <c r="L90" s="7">
        <f t="shared" si="12"/>
        <v>34.869500000000002</v>
      </c>
      <c r="M90" s="7" t="s">
        <v>42</v>
      </c>
      <c r="N90" s="7">
        <f t="shared" si="13"/>
        <v>129003.47112435172</v>
      </c>
      <c r="O90" s="7">
        <f>N90/L90</f>
        <v>3699.6077123088003</v>
      </c>
      <c r="P90" s="7" t="s">
        <v>141</v>
      </c>
    </row>
    <row r="91" spans="1:16" x14ac:dyDescent="0.25">
      <c r="A91" s="6">
        <v>5</v>
      </c>
      <c r="B91" s="7" t="s">
        <v>132</v>
      </c>
      <c r="C91" s="7">
        <v>1143</v>
      </c>
      <c r="D91" s="7">
        <v>1173.1199999999999</v>
      </c>
      <c r="E91" s="7">
        <v>1340876</v>
      </c>
      <c r="F91" s="7">
        <v>1076</v>
      </c>
      <c r="G91" s="7">
        <v>1340876</v>
      </c>
      <c r="H91" s="7">
        <v>141.91</v>
      </c>
      <c r="I91" s="3" t="s">
        <v>317</v>
      </c>
      <c r="J91" s="7" t="s">
        <v>34</v>
      </c>
      <c r="K91" s="8" t="s">
        <v>143</v>
      </c>
      <c r="L91" s="7">
        <f t="shared" si="12"/>
        <v>35.477499999999999</v>
      </c>
      <c r="M91" s="7" t="s">
        <v>42</v>
      </c>
      <c r="N91" s="7">
        <f t="shared" si="13"/>
        <v>160097.42875791085</v>
      </c>
      <c r="O91" s="7">
        <f t="shared" si="7"/>
        <v>4512.6468538626132</v>
      </c>
      <c r="P91" s="7" t="s">
        <v>141</v>
      </c>
    </row>
    <row r="92" spans="1:16" x14ac:dyDescent="0.25">
      <c r="A92" s="6">
        <v>6</v>
      </c>
      <c r="B92" s="7" t="s">
        <v>133</v>
      </c>
      <c r="C92" s="7">
        <v>1352</v>
      </c>
      <c r="D92" s="7">
        <v>1160.922</v>
      </c>
      <c r="E92" s="7">
        <v>1569566</v>
      </c>
      <c r="F92" s="7">
        <v>1071</v>
      </c>
      <c r="G92" s="7">
        <v>1569566</v>
      </c>
      <c r="H92" s="7">
        <v>168.11799999999999</v>
      </c>
      <c r="I92" s="3" t="s">
        <v>318</v>
      </c>
      <c r="J92" s="7" t="s">
        <v>34</v>
      </c>
      <c r="K92" s="8" t="s">
        <v>143</v>
      </c>
      <c r="L92" s="7">
        <f t="shared" si="12"/>
        <v>42.029499999999999</v>
      </c>
      <c r="M92" s="7" t="s">
        <v>42</v>
      </c>
      <c r="N92" s="7">
        <f t="shared" si="13"/>
        <v>172879.53602860519</v>
      </c>
      <c r="O92" s="7">
        <f t="shared" si="7"/>
        <v>4113.2903324713643</v>
      </c>
      <c r="P92" s="7" t="s">
        <v>141</v>
      </c>
    </row>
    <row r="93" spans="1:16" x14ac:dyDescent="0.25">
      <c r="A93" s="6">
        <v>7</v>
      </c>
      <c r="B93" s="7" t="s">
        <v>134</v>
      </c>
      <c r="C93" s="7">
        <v>1149</v>
      </c>
      <c r="D93" s="7">
        <v>1109.0640000000001</v>
      </c>
      <c r="E93" s="7">
        <v>1274315</v>
      </c>
      <c r="F93" s="7">
        <v>1059</v>
      </c>
      <c r="G93" s="7">
        <v>1274315</v>
      </c>
      <c r="H93" s="7">
        <v>142.47</v>
      </c>
      <c r="I93" s="3" t="s">
        <v>319</v>
      </c>
      <c r="J93" s="7" t="s">
        <v>34</v>
      </c>
      <c r="K93" s="8" t="s">
        <v>143</v>
      </c>
      <c r="L93" s="7">
        <f t="shared" si="12"/>
        <v>35.6175</v>
      </c>
      <c r="M93" s="7" t="s">
        <v>42</v>
      </c>
      <c r="N93" s="7">
        <f t="shared" si="13"/>
        <v>87338.116047978634</v>
      </c>
      <c r="O93" s="7">
        <f t="shared" si="7"/>
        <v>2452.1124741483436</v>
      </c>
      <c r="P93" s="7" t="s">
        <v>141</v>
      </c>
    </row>
    <row r="94" spans="1:16" x14ac:dyDescent="0.25">
      <c r="A94" s="6">
        <v>8</v>
      </c>
      <c r="B94" s="7" t="s">
        <v>135</v>
      </c>
      <c r="C94" s="7">
        <v>1112</v>
      </c>
      <c r="D94" s="7">
        <v>1115.5409999999999</v>
      </c>
      <c r="E94" s="7">
        <v>1240482</v>
      </c>
      <c r="F94" s="7">
        <v>1059</v>
      </c>
      <c r="G94" s="7">
        <v>1240482</v>
      </c>
      <c r="H94" s="7">
        <v>138.19999999999999</v>
      </c>
      <c r="I94" s="3" t="s">
        <v>320</v>
      </c>
      <c r="J94" s="7" t="s">
        <v>34</v>
      </c>
      <c r="K94" s="8" t="s">
        <v>143</v>
      </c>
      <c r="L94" s="7">
        <f t="shared" si="12"/>
        <v>34.549999999999997</v>
      </c>
      <c r="M94" s="7" t="s">
        <v>42</v>
      </c>
      <c r="N94" s="7">
        <f t="shared" si="13"/>
        <v>91728.044425894273</v>
      </c>
      <c r="O94" s="7">
        <f t="shared" si="7"/>
        <v>2654.9361628334091</v>
      </c>
      <c r="P94" s="7" t="s">
        <v>141</v>
      </c>
    </row>
    <row r="95" spans="1:16" x14ac:dyDescent="0.25">
      <c r="A95" s="6">
        <v>9</v>
      </c>
      <c r="B95" s="7" t="s">
        <v>136</v>
      </c>
      <c r="C95" s="7">
        <v>1312</v>
      </c>
      <c r="D95" s="7">
        <v>1152.663</v>
      </c>
      <c r="E95" s="7">
        <v>1512294</v>
      </c>
      <c r="F95" s="7">
        <v>1070</v>
      </c>
      <c r="G95" s="7">
        <v>1512294</v>
      </c>
      <c r="H95" s="7">
        <v>162.96899999999999</v>
      </c>
      <c r="I95" s="3" t="s">
        <v>321</v>
      </c>
      <c r="J95" s="7" t="s">
        <v>34</v>
      </c>
      <c r="K95" s="8" t="s">
        <v>143</v>
      </c>
      <c r="L95" s="7">
        <f t="shared" si="12"/>
        <v>40.742249999999999</v>
      </c>
      <c r="M95" s="7" t="s">
        <v>42</v>
      </c>
      <c r="N95" s="7">
        <f t="shared" si="13"/>
        <v>156929.6207614867</v>
      </c>
      <c r="O95" s="7">
        <f>N95/L95</f>
        <v>3851.766182807447</v>
      </c>
      <c r="P95" s="7" t="s">
        <v>141</v>
      </c>
    </row>
    <row r="96" spans="1:16" x14ac:dyDescent="0.25">
      <c r="A96" s="6">
        <v>10</v>
      </c>
      <c r="B96" s="7" t="s">
        <v>137</v>
      </c>
      <c r="C96" s="7">
        <v>1284</v>
      </c>
      <c r="D96" s="7">
        <v>1165.0139999999999</v>
      </c>
      <c r="E96" s="7">
        <v>1495878</v>
      </c>
      <c r="F96" s="7">
        <v>1065</v>
      </c>
      <c r="G96" s="7">
        <v>1495878</v>
      </c>
      <c r="H96" s="7">
        <v>159.6</v>
      </c>
      <c r="I96" s="3" t="s">
        <v>322</v>
      </c>
      <c r="J96" s="7" t="s">
        <v>34</v>
      </c>
      <c r="K96" s="8" t="s">
        <v>143</v>
      </c>
      <c r="L96" s="7">
        <f t="shared" si="12"/>
        <v>39.9</v>
      </c>
      <c r="M96" s="7" t="s">
        <v>42</v>
      </c>
      <c r="N96" s="7">
        <f t="shared" si="13"/>
        <v>169439.08007450378</v>
      </c>
      <c r="O96" s="7">
        <f>N96/L96</f>
        <v>4246.5934855765363</v>
      </c>
      <c r="P96" s="7" t="s">
        <v>141</v>
      </c>
    </row>
    <row r="97" spans="1:16" x14ac:dyDescent="0.25">
      <c r="A97" s="6">
        <v>11</v>
      </c>
      <c r="B97" s="7" t="s">
        <v>138</v>
      </c>
      <c r="C97" s="7">
        <v>1455</v>
      </c>
      <c r="D97" s="7">
        <v>1034.0360000000001</v>
      </c>
      <c r="E97" s="7">
        <v>1504523</v>
      </c>
      <c r="F97" s="7">
        <v>1034</v>
      </c>
      <c r="G97" s="7">
        <v>1504523</v>
      </c>
      <c r="H97" s="7">
        <v>180.995</v>
      </c>
      <c r="I97" s="7" t="s">
        <v>23</v>
      </c>
      <c r="J97" s="7"/>
      <c r="K97" s="8" t="s">
        <v>143</v>
      </c>
      <c r="L97" s="7">
        <f t="shared" si="12"/>
        <v>45.248750000000001</v>
      </c>
      <c r="M97" s="7" t="s">
        <v>42</v>
      </c>
      <c r="N97" s="7"/>
      <c r="O97" s="7">
        <f t="shared" si="7"/>
        <v>0</v>
      </c>
      <c r="P97" s="7" t="s">
        <v>141</v>
      </c>
    </row>
    <row r="98" spans="1:16" x14ac:dyDescent="0.25">
      <c r="A98" s="6">
        <v>12</v>
      </c>
      <c r="B98" s="7" t="s">
        <v>139</v>
      </c>
      <c r="C98" s="7">
        <v>1561</v>
      </c>
      <c r="D98" s="7">
        <v>1033.038</v>
      </c>
      <c r="E98" s="7">
        <v>1612572</v>
      </c>
      <c r="F98" s="7">
        <v>1032</v>
      </c>
      <c r="G98" s="7">
        <v>1612572</v>
      </c>
      <c r="H98" s="7">
        <v>193.874</v>
      </c>
      <c r="I98" s="7" t="s">
        <v>23</v>
      </c>
      <c r="J98" s="7"/>
      <c r="K98" s="8" t="s">
        <v>143</v>
      </c>
      <c r="L98" s="7">
        <f t="shared" si="12"/>
        <v>48.468499999999999</v>
      </c>
      <c r="M98" s="7" t="s">
        <v>42</v>
      </c>
      <c r="N98" s="7"/>
      <c r="O98" s="7">
        <f t="shared" si="7"/>
        <v>0</v>
      </c>
      <c r="P98" s="7" t="s">
        <v>141</v>
      </c>
    </row>
    <row r="99" spans="1:16" x14ac:dyDescent="0.25">
      <c r="A99" s="6">
        <v>13</v>
      </c>
      <c r="B99" s="7" t="s">
        <v>140</v>
      </c>
      <c r="C99" s="7">
        <v>1388</v>
      </c>
      <c r="D99" s="7">
        <v>1032.0820000000001</v>
      </c>
      <c r="E99" s="7">
        <v>1432530</v>
      </c>
      <c r="F99" s="7">
        <v>1032</v>
      </c>
      <c r="G99" s="7">
        <v>1432530</v>
      </c>
      <c r="H99" s="7">
        <v>172.68199999999999</v>
      </c>
      <c r="I99" s="7" t="s">
        <v>23</v>
      </c>
      <c r="J99" s="7"/>
      <c r="K99" s="8" t="s">
        <v>143</v>
      </c>
      <c r="L99" s="7">
        <f t="shared" si="12"/>
        <v>43.170499999999997</v>
      </c>
      <c r="M99" s="7" t="s">
        <v>42</v>
      </c>
      <c r="N99" s="7"/>
      <c r="O99" s="7">
        <f t="shared" si="7"/>
        <v>0</v>
      </c>
      <c r="P99" s="7" t="s">
        <v>141</v>
      </c>
    </row>
    <row r="100" spans="1:16" x14ac:dyDescent="0.25">
      <c r="A100" s="2">
        <v>1</v>
      </c>
      <c r="B100" s="3" t="s">
        <v>145</v>
      </c>
      <c r="C100" s="3">
        <v>2076</v>
      </c>
      <c r="D100" s="3">
        <v>1207.625</v>
      </c>
      <c r="E100" s="3">
        <v>2507030</v>
      </c>
      <c r="F100" s="3">
        <v>1100</v>
      </c>
      <c r="G100" s="3">
        <v>2507030</v>
      </c>
      <c r="H100" s="3">
        <v>258.49900000000002</v>
      </c>
      <c r="I100" s="3" t="s">
        <v>36</v>
      </c>
      <c r="J100" s="3" t="s">
        <v>34</v>
      </c>
      <c r="K100" s="4" t="s">
        <v>142</v>
      </c>
      <c r="L100" s="3">
        <f t="shared" si="12"/>
        <v>64.624750000000006</v>
      </c>
      <c r="M100" s="3" t="s">
        <v>13</v>
      </c>
      <c r="N100" s="3">
        <f t="shared" ref="N100:N109" si="14">G100-(((G$110/C$110*C100)+(G$111/C$111*C100)+(G$112/C$112*C100))/3)</f>
        <v>350131.77002664423</v>
      </c>
      <c r="O100" s="3">
        <f t="shared" si="7"/>
        <v>5417.9206886934835</v>
      </c>
      <c r="P100" s="5" t="s">
        <v>144</v>
      </c>
    </row>
    <row r="101" spans="1:16" x14ac:dyDescent="0.25">
      <c r="A101" s="6">
        <v>2</v>
      </c>
      <c r="B101" s="7" t="s">
        <v>146</v>
      </c>
      <c r="C101" s="7">
        <v>1650</v>
      </c>
      <c r="D101" s="7">
        <v>1139.27</v>
      </c>
      <c r="E101" s="7">
        <v>1879796</v>
      </c>
      <c r="F101" s="7">
        <v>1080</v>
      </c>
      <c r="G101" s="7">
        <v>1879796</v>
      </c>
      <c r="H101" s="7">
        <v>204.95</v>
      </c>
      <c r="I101" s="7" t="s">
        <v>16</v>
      </c>
      <c r="J101" s="7" t="s">
        <v>34</v>
      </c>
      <c r="K101" s="8" t="s">
        <v>142</v>
      </c>
      <c r="L101" s="7">
        <f t="shared" si="12"/>
        <v>51.237499999999997</v>
      </c>
      <c r="M101" s="7" t="s">
        <v>13</v>
      </c>
      <c r="N101" s="7">
        <f t="shared" si="14"/>
        <v>165498.27386510721</v>
      </c>
      <c r="O101" s="7">
        <f t="shared" si="7"/>
        <v>3230.0224223490068</v>
      </c>
      <c r="P101" s="9" t="s">
        <v>144</v>
      </c>
    </row>
    <row r="102" spans="1:16" x14ac:dyDescent="0.25">
      <c r="A102" s="6">
        <v>3</v>
      </c>
      <c r="B102" s="7" t="s">
        <v>147</v>
      </c>
      <c r="C102" s="7">
        <v>1911</v>
      </c>
      <c r="D102" s="7">
        <v>1157.8820000000001</v>
      </c>
      <c r="E102" s="7">
        <v>2212713</v>
      </c>
      <c r="F102" s="7">
        <v>1086</v>
      </c>
      <c r="G102" s="7">
        <v>2212713</v>
      </c>
      <c r="H102" s="7">
        <v>237.94399999999999</v>
      </c>
      <c r="I102" s="7" t="s">
        <v>17</v>
      </c>
      <c r="J102" s="7" t="s">
        <v>34</v>
      </c>
      <c r="K102" s="8" t="s">
        <v>142</v>
      </c>
      <c r="L102" s="7">
        <f t="shared" si="12"/>
        <v>59.485999999999997</v>
      </c>
      <c r="M102" s="7" t="s">
        <v>13</v>
      </c>
      <c r="N102" s="7">
        <f t="shared" si="14"/>
        <v>227244.54264013353</v>
      </c>
      <c r="O102" s="7">
        <f t="shared" si="7"/>
        <v>3820.1348660211402</v>
      </c>
      <c r="P102" s="9" t="s">
        <v>144</v>
      </c>
    </row>
    <row r="103" spans="1:16" x14ac:dyDescent="0.25">
      <c r="A103" s="6">
        <v>4</v>
      </c>
      <c r="B103" s="7" t="s">
        <v>148</v>
      </c>
      <c r="C103" s="7">
        <v>2100</v>
      </c>
      <c r="D103" s="7">
        <v>1191.124</v>
      </c>
      <c r="E103" s="7">
        <v>2501361</v>
      </c>
      <c r="F103" s="7">
        <v>1101</v>
      </c>
      <c r="G103" s="7">
        <v>2501361</v>
      </c>
      <c r="H103" s="7">
        <v>261.99400000000003</v>
      </c>
      <c r="I103" s="7" t="s">
        <v>18</v>
      </c>
      <c r="J103" s="7" t="s">
        <v>34</v>
      </c>
      <c r="K103" s="8" t="s">
        <v>142</v>
      </c>
      <c r="L103" s="7">
        <f t="shared" si="12"/>
        <v>65.498500000000007</v>
      </c>
      <c r="M103" s="7" t="s">
        <v>13</v>
      </c>
      <c r="N103" s="7">
        <f t="shared" si="14"/>
        <v>319527.53037377307</v>
      </c>
      <c r="O103" s="7">
        <f t="shared" si="7"/>
        <v>4878.3946254307048</v>
      </c>
      <c r="P103" s="9" t="s">
        <v>144</v>
      </c>
    </row>
    <row r="104" spans="1:16" x14ac:dyDescent="0.25">
      <c r="A104" s="6">
        <v>5</v>
      </c>
      <c r="B104" s="7" t="s">
        <v>149</v>
      </c>
      <c r="C104" s="7">
        <v>1298</v>
      </c>
      <c r="D104" s="7">
        <v>1132.636</v>
      </c>
      <c r="E104" s="7">
        <v>1470162</v>
      </c>
      <c r="F104" s="7">
        <v>1080</v>
      </c>
      <c r="G104" s="7">
        <v>1470162</v>
      </c>
      <c r="H104" s="7">
        <v>161.465</v>
      </c>
      <c r="I104" s="7" t="s">
        <v>19</v>
      </c>
      <c r="J104" s="7" t="s">
        <v>34</v>
      </c>
      <c r="K104" s="8" t="s">
        <v>142</v>
      </c>
      <c r="L104" s="7">
        <f t="shared" si="12"/>
        <v>40.366250000000001</v>
      </c>
      <c r="M104" s="7" t="s">
        <v>13</v>
      </c>
      <c r="N104" s="7">
        <f t="shared" si="14"/>
        <v>121581.12210721779</v>
      </c>
      <c r="O104" s="7">
        <f t="shared" si="7"/>
        <v>3011.9498865318869</v>
      </c>
      <c r="P104" s="9" t="s">
        <v>144</v>
      </c>
    </row>
    <row r="105" spans="1:16" x14ac:dyDescent="0.25">
      <c r="A105" s="6">
        <v>6</v>
      </c>
      <c r="B105" s="7" t="s">
        <v>150</v>
      </c>
      <c r="C105" s="7">
        <v>1681</v>
      </c>
      <c r="D105" s="7">
        <v>1097.31</v>
      </c>
      <c r="E105" s="7">
        <v>1844578</v>
      </c>
      <c r="F105" s="7">
        <v>1067</v>
      </c>
      <c r="G105" s="7">
        <v>1844578</v>
      </c>
      <c r="H105" s="7">
        <v>209.60599999999999</v>
      </c>
      <c r="I105" s="7" t="s">
        <v>20</v>
      </c>
      <c r="J105" s="7" t="s">
        <v>34</v>
      </c>
      <c r="K105" s="8" t="s">
        <v>142</v>
      </c>
      <c r="L105" s="7">
        <f t="shared" si="12"/>
        <v>52.401499999999999</v>
      </c>
      <c r="M105" s="7" t="s">
        <v>13</v>
      </c>
      <c r="N105" s="7">
        <f t="shared" si="14"/>
        <v>98072.255980148911</v>
      </c>
      <c r="O105" s="7">
        <f t="shared" si="7"/>
        <v>1871.5543635229701</v>
      </c>
      <c r="P105" s="9" t="s">
        <v>144</v>
      </c>
    </row>
    <row r="106" spans="1:16" x14ac:dyDescent="0.25">
      <c r="A106" s="6">
        <v>7</v>
      </c>
      <c r="B106" s="7" t="s">
        <v>151</v>
      </c>
      <c r="C106" s="7">
        <v>1867</v>
      </c>
      <c r="D106" s="7">
        <v>1109.357</v>
      </c>
      <c r="E106" s="7">
        <v>2071169</v>
      </c>
      <c r="F106" s="7">
        <v>1072</v>
      </c>
      <c r="G106" s="7">
        <v>2071169</v>
      </c>
      <c r="H106" s="7">
        <v>232.01300000000001</v>
      </c>
      <c r="I106" s="7" t="s">
        <v>21</v>
      </c>
      <c r="J106" s="7" t="s">
        <v>34</v>
      </c>
      <c r="K106" s="8" t="s">
        <v>142</v>
      </c>
      <c r="L106" s="7">
        <f t="shared" si="12"/>
        <v>58.003250000000001</v>
      </c>
      <c r="M106" s="7" t="s">
        <v>13</v>
      </c>
      <c r="N106" s="7">
        <f t="shared" si="14"/>
        <v>131415.148670397</v>
      </c>
      <c r="O106" s="7">
        <f t="shared" si="7"/>
        <v>2265.651470743398</v>
      </c>
      <c r="P106" s="9" t="s">
        <v>144</v>
      </c>
    </row>
    <row r="107" spans="1:16" x14ac:dyDescent="0.25">
      <c r="A107" s="6">
        <v>8</v>
      </c>
      <c r="B107" s="7" t="s">
        <v>152</v>
      </c>
      <c r="C107" s="7">
        <v>2386</v>
      </c>
      <c r="D107" s="7">
        <v>1367.748</v>
      </c>
      <c r="E107" s="7">
        <v>3263446</v>
      </c>
      <c r="F107" s="7">
        <v>1125</v>
      </c>
      <c r="G107" s="7">
        <v>3263446</v>
      </c>
      <c r="H107" s="7">
        <v>297.02100000000002</v>
      </c>
      <c r="I107" s="7" t="s">
        <v>22</v>
      </c>
      <c r="J107" s="7" t="s">
        <v>34</v>
      </c>
      <c r="K107" s="8" t="s">
        <v>142</v>
      </c>
      <c r="L107" s="7">
        <f t="shared" si="12"/>
        <v>74.255250000000004</v>
      </c>
      <c r="M107" s="7" t="s">
        <v>13</v>
      </c>
      <c r="N107" s="7">
        <f t="shared" si="14"/>
        <v>784467.59117705794</v>
      </c>
      <c r="O107" s="7">
        <f t="shared" si="7"/>
        <v>10564.473100246218</v>
      </c>
      <c r="P107" s="9" t="s">
        <v>144</v>
      </c>
    </row>
    <row r="108" spans="1:16" x14ac:dyDescent="0.25">
      <c r="A108" s="6">
        <v>9</v>
      </c>
      <c r="B108" s="7" t="s">
        <v>153</v>
      </c>
      <c r="C108" s="7">
        <v>1965</v>
      </c>
      <c r="D108" s="7">
        <v>1276.423</v>
      </c>
      <c r="E108" s="7">
        <v>2508171</v>
      </c>
      <c r="F108" s="7">
        <v>1101</v>
      </c>
      <c r="G108" s="7">
        <v>2508171</v>
      </c>
      <c r="H108" s="7">
        <v>244.72900000000001</v>
      </c>
      <c r="I108" s="7" t="s">
        <v>24</v>
      </c>
      <c r="J108" s="7" t="s">
        <v>34</v>
      </c>
      <c r="K108" s="8" t="s">
        <v>142</v>
      </c>
      <c r="L108" s="7">
        <f t="shared" si="12"/>
        <v>61.182250000000003</v>
      </c>
      <c r="M108" s="7" t="s">
        <v>13</v>
      </c>
      <c r="N108" s="7">
        <f t="shared" si="14"/>
        <v>466598.2534211732</v>
      </c>
      <c r="O108" s="7">
        <f>N108/L108</f>
        <v>7626.3663631391973</v>
      </c>
      <c r="P108" s="9" t="s">
        <v>144</v>
      </c>
    </row>
    <row r="109" spans="1:16" x14ac:dyDescent="0.25">
      <c r="A109" s="6">
        <v>10</v>
      </c>
      <c r="B109" s="7" t="s">
        <v>154</v>
      </c>
      <c r="C109" s="7">
        <v>2007</v>
      </c>
      <c r="D109" s="7">
        <v>1195.6969999999999</v>
      </c>
      <c r="E109" s="7">
        <v>2399763</v>
      </c>
      <c r="F109" s="7">
        <v>1094</v>
      </c>
      <c r="G109" s="7">
        <v>2399763</v>
      </c>
      <c r="H109" s="7">
        <v>250.05600000000001</v>
      </c>
      <c r="I109" s="7" t="s">
        <v>25</v>
      </c>
      <c r="J109" s="7" t="s">
        <v>34</v>
      </c>
      <c r="K109" s="8" t="s">
        <v>142</v>
      </c>
      <c r="L109" s="7">
        <f t="shared" si="12"/>
        <v>62.514000000000003</v>
      </c>
      <c r="M109" s="7" t="s">
        <v>13</v>
      </c>
      <c r="N109" s="7">
        <f t="shared" si="14"/>
        <v>314553.58402864891</v>
      </c>
      <c r="O109" s="7">
        <f>N109/L109</f>
        <v>5031.7302368853198</v>
      </c>
      <c r="P109" s="9" t="s">
        <v>144</v>
      </c>
    </row>
    <row r="110" spans="1:16" x14ac:dyDescent="0.25">
      <c r="A110" s="6">
        <v>11</v>
      </c>
      <c r="B110" s="7" t="s">
        <v>155</v>
      </c>
      <c r="C110" s="7">
        <v>1562</v>
      </c>
      <c r="D110" s="7">
        <v>1038.0229999999999</v>
      </c>
      <c r="E110" s="7">
        <v>1621392</v>
      </c>
      <c r="F110" s="7">
        <v>1037</v>
      </c>
      <c r="G110" s="7">
        <v>1621392</v>
      </c>
      <c r="H110" s="7">
        <v>194.79300000000001</v>
      </c>
      <c r="I110" s="7" t="s">
        <v>23</v>
      </c>
      <c r="J110" s="7"/>
      <c r="K110" s="8" t="s">
        <v>142</v>
      </c>
      <c r="L110" s="7">
        <f t="shared" si="12"/>
        <v>48.698250000000002</v>
      </c>
      <c r="M110" s="7" t="s">
        <v>13</v>
      </c>
      <c r="N110" s="7"/>
      <c r="O110" s="7">
        <f t="shared" si="7"/>
        <v>0</v>
      </c>
      <c r="P110" s="9" t="s">
        <v>144</v>
      </c>
    </row>
    <row r="111" spans="1:16" x14ac:dyDescent="0.25">
      <c r="A111" s="6">
        <v>12</v>
      </c>
      <c r="B111" s="7" t="s">
        <v>156</v>
      </c>
      <c r="C111" s="7">
        <v>1541</v>
      </c>
      <c r="D111" s="7">
        <v>1039.1489999999999</v>
      </c>
      <c r="E111" s="7">
        <v>1601329</v>
      </c>
      <c r="F111" s="7">
        <v>1038</v>
      </c>
      <c r="G111" s="7">
        <v>1601329</v>
      </c>
      <c r="H111" s="7">
        <v>191.49100000000001</v>
      </c>
      <c r="I111" s="7" t="s">
        <v>23</v>
      </c>
      <c r="J111" s="7"/>
      <c r="K111" s="8" t="s">
        <v>142</v>
      </c>
      <c r="L111" s="7">
        <f t="shared" si="12"/>
        <v>47.872750000000003</v>
      </c>
      <c r="M111" s="7" t="s">
        <v>13</v>
      </c>
      <c r="N111" s="7"/>
      <c r="O111" s="7">
        <f t="shared" si="7"/>
        <v>0</v>
      </c>
      <c r="P111" s="9" t="s">
        <v>144</v>
      </c>
    </row>
    <row r="112" spans="1:16" x14ac:dyDescent="0.25">
      <c r="A112" s="10">
        <v>13</v>
      </c>
      <c r="B112" s="11" t="s">
        <v>157</v>
      </c>
      <c r="C112" s="11">
        <v>1672</v>
      </c>
      <c r="D112" s="11">
        <v>1039.7329999999999</v>
      </c>
      <c r="E112" s="11">
        <v>1738433</v>
      </c>
      <c r="F112" s="11">
        <v>1040</v>
      </c>
      <c r="G112" s="11">
        <v>1738433</v>
      </c>
      <c r="H112" s="11">
        <v>208.96700000000001</v>
      </c>
      <c r="I112" s="7" t="s">
        <v>23</v>
      </c>
      <c r="J112" s="11"/>
      <c r="K112" s="12" t="s">
        <v>142</v>
      </c>
      <c r="L112" s="11">
        <f t="shared" si="12"/>
        <v>52.241750000000003</v>
      </c>
      <c r="M112" s="11" t="s">
        <v>13</v>
      </c>
      <c r="N112" s="11"/>
      <c r="O112" s="11">
        <f t="shared" si="7"/>
        <v>0</v>
      </c>
      <c r="P112" s="13" t="s">
        <v>144</v>
      </c>
    </row>
    <row r="113" spans="1:16" x14ac:dyDescent="0.25">
      <c r="A113" s="2">
        <v>1</v>
      </c>
      <c r="B113" s="3" t="s">
        <v>158</v>
      </c>
      <c r="C113" s="3">
        <v>1617</v>
      </c>
      <c r="D113" s="3">
        <v>1116.325</v>
      </c>
      <c r="E113" s="3">
        <v>1805097</v>
      </c>
      <c r="F113" s="3">
        <v>1070</v>
      </c>
      <c r="G113" s="3">
        <v>1805097</v>
      </c>
      <c r="H113" s="3">
        <v>201.09399999999999</v>
      </c>
      <c r="I113" s="3" t="s">
        <v>26</v>
      </c>
      <c r="J113" s="3" t="s">
        <v>34</v>
      </c>
      <c r="K113" s="4" t="s">
        <v>142</v>
      </c>
      <c r="L113" s="3">
        <f>H113/4</f>
        <v>50.273499999999999</v>
      </c>
      <c r="M113" s="3" t="s">
        <v>14</v>
      </c>
      <c r="N113" s="3">
        <f t="shared" ref="N113:N120" si="15">G113-(((G$123/C$123*C113)+(G$124/C$124*C113)+(G$125/C$125*C113))/3)</f>
        <v>123439.39849496935</v>
      </c>
      <c r="O113" s="3">
        <f t="shared" si="7"/>
        <v>2455.3571662002719</v>
      </c>
      <c r="P113" s="5" t="s">
        <v>144</v>
      </c>
    </row>
    <row r="114" spans="1:16" x14ac:dyDescent="0.25">
      <c r="A114" s="6">
        <v>2</v>
      </c>
      <c r="B114" s="7" t="s">
        <v>159</v>
      </c>
      <c r="C114" s="7">
        <v>1596</v>
      </c>
      <c r="D114" s="7">
        <v>1121.425</v>
      </c>
      <c r="E114" s="7">
        <v>1789795</v>
      </c>
      <c r="F114" s="7">
        <v>1077</v>
      </c>
      <c r="G114" s="7">
        <v>1789795</v>
      </c>
      <c r="H114" s="7">
        <v>198.11699999999999</v>
      </c>
      <c r="I114" s="7" t="s">
        <v>27</v>
      </c>
      <c r="J114" s="7" t="s">
        <v>34</v>
      </c>
      <c r="K114" s="8" t="s">
        <v>142</v>
      </c>
      <c r="L114" s="7">
        <f>H114/4</f>
        <v>49.529249999999998</v>
      </c>
      <c r="M114" s="7" t="s">
        <v>14</v>
      </c>
      <c r="N114" s="7">
        <f t="shared" si="15"/>
        <v>129977.10760542448</v>
      </c>
      <c r="O114" s="7">
        <f t="shared" si="7"/>
        <v>2624.2494607817498</v>
      </c>
      <c r="P114" s="9" t="s">
        <v>144</v>
      </c>
    </row>
    <row r="115" spans="1:16" x14ac:dyDescent="0.25">
      <c r="A115" s="6">
        <v>3</v>
      </c>
      <c r="B115" s="7" t="s">
        <v>160</v>
      </c>
      <c r="C115" s="7">
        <v>2211</v>
      </c>
      <c r="D115" s="7">
        <v>1222.5440000000001</v>
      </c>
      <c r="E115" s="7">
        <v>2703044</v>
      </c>
      <c r="F115" s="7">
        <v>1104</v>
      </c>
      <c r="G115" s="7">
        <v>2703044</v>
      </c>
      <c r="H115" s="7">
        <v>275.33999999999997</v>
      </c>
      <c r="I115" s="7" t="s">
        <v>28</v>
      </c>
      <c r="J115" s="7" t="s">
        <v>34</v>
      </c>
      <c r="K115" s="8" t="s">
        <v>142</v>
      </c>
      <c r="L115" s="7">
        <f>H115/4</f>
        <v>68.834999999999994</v>
      </c>
      <c r="M115" s="7" t="s">
        <v>14</v>
      </c>
      <c r="N115" s="7">
        <f t="shared" si="15"/>
        <v>403634.62651352957</v>
      </c>
      <c r="O115" s="7">
        <f t="shared" si="7"/>
        <v>5863.7993246681135</v>
      </c>
      <c r="P115" s="9" t="s">
        <v>144</v>
      </c>
    </row>
    <row r="116" spans="1:16" x14ac:dyDescent="0.25">
      <c r="A116" s="6">
        <v>4</v>
      </c>
      <c r="B116" s="7" t="s">
        <v>161</v>
      </c>
      <c r="C116" s="7">
        <v>2260</v>
      </c>
      <c r="D116" s="7">
        <v>1202.079</v>
      </c>
      <c r="E116" s="7">
        <v>2716698</v>
      </c>
      <c r="F116" s="7">
        <v>1104</v>
      </c>
      <c r="G116" s="7">
        <v>2716698</v>
      </c>
      <c r="H116" s="7">
        <v>282.10500000000002</v>
      </c>
      <c r="I116" s="7" t="s">
        <v>29</v>
      </c>
      <c r="J116" s="7" t="s">
        <v>34</v>
      </c>
      <c r="K116" s="8" t="s">
        <v>142</v>
      </c>
      <c r="L116" s="7">
        <f t="shared" ref="L116:L125" si="16">H116/4</f>
        <v>70.526250000000005</v>
      </c>
      <c r="M116" s="7" t="s">
        <v>14</v>
      </c>
      <c r="N116" s="7">
        <f t="shared" si="15"/>
        <v>366329.30525580142</v>
      </c>
      <c r="O116" s="7">
        <f t="shared" si="7"/>
        <v>5194.2263377933941</v>
      </c>
      <c r="P116" s="9" t="s">
        <v>144</v>
      </c>
    </row>
    <row r="117" spans="1:16" x14ac:dyDescent="0.25">
      <c r="A117" s="6">
        <v>5</v>
      </c>
      <c r="B117" s="7" t="s">
        <v>162</v>
      </c>
      <c r="C117" s="7">
        <v>1878</v>
      </c>
      <c r="D117" s="7">
        <v>1129.2329999999999</v>
      </c>
      <c r="E117" s="7">
        <v>2120699</v>
      </c>
      <c r="F117" s="7">
        <v>1078</v>
      </c>
      <c r="G117" s="7">
        <v>2120699</v>
      </c>
      <c r="H117" s="7">
        <v>233.63900000000001</v>
      </c>
      <c r="I117" s="7" t="s">
        <v>35</v>
      </c>
      <c r="J117" s="7" t="s">
        <v>34</v>
      </c>
      <c r="K117" s="8" t="s">
        <v>142</v>
      </c>
      <c r="L117" s="7">
        <f t="shared" si="16"/>
        <v>58.409750000000003</v>
      </c>
      <c r="M117" s="7" t="s">
        <v>14</v>
      </c>
      <c r="N117" s="7">
        <f t="shared" si="15"/>
        <v>167605.01383645809</v>
      </c>
      <c r="O117" s="7">
        <f t="shared" si="7"/>
        <v>2869.4698031828261</v>
      </c>
      <c r="P117" s="9" t="s">
        <v>144</v>
      </c>
    </row>
    <row r="118" spans="1:16" x14ac:dyDescent="0.25">
      <c r="A118" s="6">
        <v>6</v>
      </c>
      <c r="B118" s="7" t="s">
        <v>163</v>
      </c>
      <c r="C118" s="7">
        <v>1579</v>
      </c>
      <c r="D118" s="7">
        <v>1091.0619999999999</v>
      </c>
      <c r="E118" s="7">
        <v>1722787</v>
      </c>
      <c r="F118" s="7">
        <v>1066</v>
      </c>
      <c r="G118" s="7">
        <v>1722787</v>
      </c>
      <c r="H118" s="7">
        <v>196.50700000000001</v>
      </c>
      <c r="I118" s="7" t="s">
        <v>30</v>
      </c>
      <c r="J118" s="7" t="s">
        <v>34</v>
      </c>
      <c r="K118" s="8" t="s">
        <v>142</v>
      </c>
      <c r="L118" s="7">
        <f t="shared" si="16"/>
        <v>49.126750000000001</v>
      </c>
      <c r="M118" s="7" t="s">
        <v>14</v>
      </c>
      <c r="N118" s="7">
        <f t="shared" si="15"/>
        <v>80648.872123411624</v>
      </c>
      <c r="O118" s="7">
        <f t="shared" si="7"/>
        <v>1641.648839449213</v>
      </c>
      <c r="P118" s="9" t="s">
        <v>144</v>
      </c>
    </row>
    <row r="119" spans="1:16" x14ac:dyDescent="0.25">
      <c r="A119" s="6">
        <v>7</v>
      </c>
      <c r="B119" s="7" t="s">
        <v>164</v>
      </c>
      <c r="C119" s="7">
        <v>2029</v>
      </c>
      <c r="D119" s="7">
        <v>1234.0029999999999</v>
      </c>
      <c r="E119" s="7">
        <v>2503792</v>
      </c>
      <c r="F119" s="7">
        <v>1105</v>
      </c>
      <c r="G119" s="7">
        <v>2503792</v>
      </c>
      <c r="H119" s="7">
        <v>252.29300000000001</v>
      </c>
      <c r="I119" s="7" t="s">
        <v>31</v>
      </c>
      <c r="J119" s="7" t="s">
        <v>34</v>
      </c>
      <c r="K119" s="8" t="s">
        <v>142</v>
      </c>
      <c r="L119" s="7">
        <f t="shared" si="16"/>
        <v>63.073250000000002</v>
      </c>
      <c r="M119" s="7" t="s">
        <v>14</v>
      </c>
      <c r="N119" s="7">
        <f t="shared" si="15"/>
        <v>393660.10547080589</v>
      </c>
      <c r="O119" s="7">
        <f t="shared" si="7"/>
        <v>6241.316334116379</v>
      </c>
      <c r="P119" s="9" t="s">
        <v>144</v>
      </c>
    </row>
    <row r="120" spans="1:16" x14ac:dyDescent="0.25">
      <c r="A120" s="6">
        <v>8</v>
      </c>
      <c r="B120" s="7" t="s">
        <v>165</v>
      </c>
      <c r="C120" s="7">
        <v>2340</v>
      </c>
      <c r="D120" s="7">
        <v>1239.7149999999999</v>
      </c>
      <c r="E120" s="7">
        <v>2900932</v>
      </c>
      <c r="F120" s="7">
        <v>1109</v>
      </c>
      <c r="G120" s="7">
        <v>2900932</v>
      </c>
      <c r="H120" s="7">
        <v>291.101</v>
      </c>
      <c r="I120" s="7" t="s">
        <v>32</v>
      </c>
      <c r="J120" s="7" t="s">
        <v>34</v>
      </c>
      <c r="K120" s="8" t="s">
        <v>142</v>
      </c>
      <c r="L120" s="7">
        <f t="shared" si="16"/>
        <v>72.77525</v>
      </c>
      <c r="M120" s="7" t="s">
        <v>14</v>
      </c>
      <c r="N120" s="7">
        <f t="shared" si="15"/>
        <v>467364.4134064489</v>
      </c>
      <c r="O120" s="7">
        <f t="shared" si="7"/>
        <v>6422.0241552787375</v>
      </c>
      <c r="P120" s="9" t="s">
        <v>144</v>
      </c>
    </row>
    <row r="121" spans="1:16" x14ac:dyDescent="0.25">
      <c r="A121" s="6">
        <v>9</v>
      </c>
      <c r="B121" s="7" t="s">
        <v>166</v>
      </c>
      <c r="C121" s="7">
        <v>2119</v>
      </c>
      <c r="D121" s="7">
        <v>1191.403</v>
      </c>
      <c r="E121" s="7">
        <v>2524583</v>
      </c>
      <c r="F121" s="7">
        <v>1098</v>
      </c>
      <c r="G121" s="7">
        <v>2524583</v>
      </c>
      <c r="H121" s="7">
        <v>263.84300000000002</v>
      </c>
      <c r="I121" s="7" t="s">
        <v>38</v>
      </c>
      <c r="J121" s="7" t="s">
        <v>34</v>
      </c>
      <c r="K121" s="8" t="s">
        <v>142</v>
      </c>
      <c r="L121" s="7">
        <f>H121/4</f>
        <v>65.960750000000004</v>
      </c>
      <c r="M121" s="7" t="s">
        <v>14</v>
      </c>
      <c r="N121" s="7">
        <f>G121-(((G$123/C$123*C121)+(G$124/C$124*C121)+(G$125/C$125*C121))/3)</f>
        <v>320852.35214028461</v>
      </c>
      <c r="O121" s="7">
        <f>N121/L121</f>
        <v>4864.2920545973866</v>
      </c>
      <c r="P121" s="9" t="s">
        <v>144</v>
      </c>
    </row>
    <row r="122" spans="1:16" x14ac:dyDescent="0.25">
      <c r="A122" s="6">
        <v>10</v>
      </c>
      <c r="B122" s="7" t="s">
        <v>167</v>
      </c>
      <c r="C122" s="7">
        <v>1381</v>
      </c>
      <c r="D122" s="7">
        <v>1077.559</v>
      </c>
      <c r="E122" s="7">
        <v>1488109</v>
      </c>
      <c r="F122" s="7">
        <v>1055</v>
      </c>
      <c r="G122" s="7">
        <v>1488109</v>
      </c>
      <c r="H122" s="7">
        <v>173.26499999999999</v>
      </c>
      <c r="I122" s="7" t="s">
        <v>33</v>
      </c>
      <c r="J122" s="7" t="s">
        <v>34</v>
      </c>
      <c r="K122" s="8" t="s">
        <v>142</v>
      </c>
      <c r="L122" s="7">
        <f>H122/4</f>
        <v>43.316249999999997</v>
      </c>
      <c r="M122" s="7" t="s">
        <v>14</v>
      </c>
      <c r="N122" s="7">
        <f>G122-(((G$123/C$123*C122)+(G$124/C$124*C122)+(G$125/C$125*C122))/3)</f>
        <v>51888.129450558452</v>
      </c>
      <c r="O122" s="7">
        <f>N122/L122</f>
        <v>1197.8906172754671</v>
      </c>
      <c r="P122" s="9" t="s">
        <v>144</v>
      </c>
    </row>
    <row r="123" spans="1:16" x14ac:dyDescent="0.25">
      <c r="A123" s="6">
        <v>11</v>
      </c>
      <c r="B123" s="7" t="s">
        <v>168</v>
      </c>
      <c r="C123" s="7">
        <v>1722</v>
      </c>
      <c r="D123" s="7">
        <v>1038.8630000000001</v>
      </c>
      <c r="E123" s="7">
        <v>1788922</v>
      </c>
      <c r="F123" s="7">
        <v>1038</v>
      </c>
      <c r="G123" s="7">
        <v>1788922</v>
      </c>
      <c r="H123" s="7">
        <v>214.86199999999999</v>
      </c>
      <c r="I123" s="7" t="s">
        <v>23</v>
      </c>
      <c r="J123" s="7"/>
      <c r="K123" s="8" t="s">
        <v>142</v>
      </c>
      <c r="L123" s="7">
        <f t="shared" si="16"/>
        <v>53.715499999999999</v>
      </c>
      <c r="M123" s="7" t="s">
        <v>14</v>
      </c>
      <c r="N123" s="7"/>
      <c r="O123" s="7">
        <f t="shared" ref="O123:O196" si="17">N123/L123</f>
        <v>0</v>
      </c>
      <c r="P123" s="9" t="s">
        <v>144</v>
      </c>
    </row>
    <row r="124" spans="1:16" x14ac:dyDescent="0.25">
      <c r="A124" s="6">
        <v>12</v>
      </c>
      <c r="B124" s="7" t="s">
        <v>169</v>
      </c>
      <c r="C124" s="7">
        <v>1469</v>
      </c>
      <c r="D124" s="7">
        <v>1040.6130000000001</v>
      </c>
      <c r="E124" s="7">
        <v>1528660</v>
      </c>
      <c r="F124" s="7">
        <v>1041</v>
      </c>
      <c r="G124" s="7">
        <v>1528660</v>
      </c>
      <c r="H124" s="7">
        <v>182.173</v>
      </c>
      <c r="I124" s="7" t="s">
        <v>23</v>
      </c>
      <c r="J124" s="7"/>
      <c r="K124" s="8" t="s">
        <v>142</v>
      </c>
      <c r="L124" s="7">
        <f t="shared" si="16"/>
        <v>45.54325</v>
      </c>
      <c r="M124" s="7" t="s">
        <v>14</v>
      </c>
      <c r="N124" s="7"/>
      <c r="O124" s="7">
        <f t="shared" si="17"/>
        <v>0</v>
      </c>
      <c r="P124" s="9" t="s">
        <v>144</v>
      </c>
    </row>
    <row r="125" spans="1:16" x14ac:dyDescent="0.25">
      <c r="A125" s="10">
        <v>13</v>
      </c>
      <c r="B125" s="11" t="s">
        <v>170</v>
      </c>
      <c r="C125" s="11">
        <v>1398</v>
      </c>
      <c r="D125" s="11">
        <v>1040.4829999999999</v>
      </c>
      <c r="E125" s="11">
        <v>1454595</v>
      </c>
      <c r="F125" s="11">
        <v>1040</v>
      </c>
      <c r="G125" s="11">
        <v>1454595</v>
      </c>
      <c r="H125" s="11">
        <v>173.619</v>
      </c>
      <c r="I125" s="7" t="s">
        <v>23</v>
      </c>
      <c r="J125" s="11"/>
      <c r="K125" s="12" t="s">
        <v>142</v>
      </c>
      <c r="L125" s="11">
        <f t="shared" si="16"/>
        <v>43.40475</v>
      </c>
      <c r="M125" s="11" t="s">
        <v>14</v>
      </c>
      <c r="N125" s="11"/>
      <c r="O125" s="11">
        <f t="shared" si="17"/>
        <v>0</v>
      </c>
      <c r="P125" s="13" t="s">
        <v>144</v>
      </c>
    </row>
    <row r="126" spans="1:16" x14ac:dyDescent="0.25">
      <c r="A126" s="2">
        <v>1</v>
      </c>
      <c r="B126" s="3" t="s">
        <v>171</v>
      </c>
      <c r="C126" s="3">
        <v>2040</v>
      </c>
      <c r="D126" s="3">
        <v>1115.431</v>
      </c>
      <c r="E126" s="3">
        <v>2275480</v>
      </c>
      <c r="F126" s="3">
        <v>1070</v>
      </c>
      <c r="G126" s="3">
        <v>2275480</v>
      </c>
      <c r="H126" s="3">
        <v>253.99799999999999</v>
      </c>
      <c r="I126" s="3" t="s">
        <v>303</v>
      </c>
      <c r="J126" s="3" t="s">
        <v>34</v>
      </c>
      <c r="K126" s="4" t="s">
        <v>143</v>
      </c>
      <c r="L126" s="3">
        <f>H126/4</f>
        <v>63.499499999999998</v>
      </c>
      <c r="M126" s="3" t="s">
        <v>41</v>
      </c>
      <c r="N126" s="3">
        <f>G126-(((G$136/C$136*C126)+(G$137/C$137*C126)+(G$138/C$138*C126))/3)</f>
        <v>156755.30951397074</v>
      </c>
      <c r="O126" s="3">
        <f t="shared" si="17"/>
        <v>2468.6069892514233</v>
      </c>
      <c r="P126" s="5" t="s">
        <v>144</v>
      </c>
    </row>
    <row r="127" spans="1:16" x14ac:dyDescent="0.25">
      <c r="A127" s="6">
        <v>2</v>
      </c>
      <c r="B127" s="7" t="s">
        <v>172</v>
      </c>
      <c r="C127" s="7">
        <v>1902</v>
      </c>
      <c r="D127" s="7">
        <v>1140.1179999999999</v>
      </c>
      <c r="E127" s="7">
        <v>2168505</v>
      </c>
      <c r="F127" s="7">
        <v>1078</v>
      </c>
      <c r="G127" s="7">
        <v>2168505</v>
      </c>
      <c r="H127" s="7">
        <v>236.88</v>
      </c>
      <c r="I127" s="3" t="s">
        <v>304</v>
      </c>
      <c r="J127" s="7" t="s">
        <v>34</v>
      </c>
      <c r="K127" s="8" t="s">
        <v>143</v>
      </c>
      <c r="L127" s="7">
        <f>H127/4</f>
        <v>59.22</v>
      </c>
      <c r="M127" s="7" t="s">
        <v>41</v>
      </c>
      <c r="N127" s="7">
        <f t="shared" ref="N127:N133" si="18">G127-(((G$136/C$136*C127)+(G$137/C$137*C127)+(G$138/C$138*C127))/3)</f>
        <v>193105.80328214355</v>
      </c>
      <c r="O127" s="7">
        <f t="shared" si="17"/>
        <v>3260.8207241158993</v>
      </c>
      <c r="P127" s="9" t="s">
        <v>144</v>
      </c>
    </row>
    <row r="128" spans="1:16" x14ac:dyDescent="0.25">
      <c r="A128" s="6">
        <v>3</v>
      </c>
      <c r="B128" s="7" t="s">
        <v>173</v>
      </c>
      <c r="C128" s="7">
        <v>2021</v>
      </c>
      <c r="D128" s="7">
        <v>1082.992</v>
      </c>
      <c r="E128" s="7">
        <v>2188726</v>
      </c>
      <c r="F128" s="7">
        <v>1060</v>
      </c>
      <c r="G128" s="7">
        <v>2188726</v>
      </c>
      <c r="H128" s="7">
        <v>251.10599999999999</v>
      </c>
      <c r="I128" s="3" t="s">
        <v>305</v>
      </c>
      <c r="J128" s="7" t="s">
        <v>34</v>
      </c>
      <c r="K128" s="8" t="s">
        <v>143</v>
      </c>
      <c r="L128" s="7">
        <f t="shared" ref="L128:L164" si="19">H128/4</f>
        <v>62.776499999999999</v>
      </c>
      <c r="M128" s="7" t="s">
        <v>41</v>
      </c>
      <c r="N128" s="7">
        <f t="shared" si="18"/>
        <v>89734.529670458287</v>
      </c>
      <c r="O128" s="7">
        <f t="shared" si="17"/>
        <v>1429.4286822371157</v>
      </c>
      <c r="P128" s="9" t="s">
        <v>144</v>
      </c>
    </row>
    <row r="129" spans="1:16" x14ac:dyDescent="0.25">
      <c r="A129" s="6">
        <v>4</v>
      </c>
      <c r="B129" s="7" t="s">
        <v>174</v>
      </c>
      <c r="C129" s="7">
        <v>2102</v>
      </c>
      <c r="D129" s="7">
        <v>1196.6510000000001</v>
      </c>
      <c r="E129" s="7">
        <v>2515361</v>
      </c>
      <c r="F129" s="7">
        <v>1101</v>
      </c>
      <c r="G129" s="7">
        <v>2515361</v>
      </c>
      <c r="H129" s="7">
        <v>261.72500000000002</v>
      </c>
      <c r="I129" s="3" t="s">
        <v>306</v>
      </c>
      <c r="J129" s="7" t="s">
        <v>34</v>
      </c>
      <c r="K129" s="8" t="s">
        <v>143</v>
      </c>
      <c r="L129" s="7">
        <f t="shared" si="19"/>
        <v>65.431250000000006</v>
      </c>
      <c r="M129" s="7" t="s">
        <v>41</v>
      </c>
      <c r="N129" s="7">
        <f t="shared" si="18"/>
        <v>332243.69637174811</v>
      </c>
      <c r="O129" s="7">
        <f t="shared" si="17"/>
        <v>5077.752547471553</v>
      </c>
      <c r="P129" s="9" t="s">
        <v>144</v>
      </c>
    </row>
    <row r="130" spans="1:16" x14ac:dyDescent="0.25">
      <c r="A130" s="6">
        <v>5</v>
      </c>
      <c r="B130" s="7" t="s">
        <v>175</v>
      </c>
      <c r="C130" s="7">
        <v>2409</v>
      </c>
      <c r="D130" s="7">
        <v>1188.4590000000001</v>
      </c>
      <c r="E130" s="7">
        <v>2862997</v>
      </c>
      <c r="F130" s="7">
        <v>1089</v>
      </c>
      <c r="G130" s="7">
        <v>2862997</v>
      </c>
      <c r="H130" s="7">
        <v>300.22199999999998</v>
      </c>
      <c r="I130" s="3" t="s">
        <v>307</v>
      </c>
      <c r="J130" s="7" t="s">
        <v>34</v>
      </c>
      <c r="K130" s="8" t="s">
        <v>143</v>
      </c>
      <c r="L130" s="7">
        <f t="shared" si="19"/>
        <v>75.055499999999995</v>
      </c>
      <c r="M130" s="7" t="s">
        <v>41</v>
      </c>
      <c r="N130" s="7">
        <f t="shared" si="18"/>
        <v>361032.40226429189</v>
      </c>
      <c r="O130" s="7">
        <f t="shared" si="17"/>
        <v>4810.2058112235864</v>
      </c>
      <c r="P130" s="9" t="s">
        <v>144</v>
      </c>
    </row>
    <row r="131" spans="1:16" x14ac:dyDescent="0.25">
      <c r="A131" s="6">
        <v>6</v>
      </c>
      <c r="B131" s="7" t="s">
        <v>176</v>
      </c>
      <c r="C131" s="7">
        <v>1900</v>
      </c>
      <c r="D131" s="7">
        <v>1095.144</v>
      </c>
      <c r="E131" s="7">
        <v>2080773</v>
      </c>
      <c r="F131" s="7">
        <v>1066</v>
      </c>
      <c r="G131" s="7">
        <v>2080773</v>
      </c>
      <c r="H131" s="7">
        <v>236.58699999999999</v>
      </c>
      <c r="I131" s="3" t="s">
        <v>308</v>
      </c>
      <c r="J131" s="7" t="s">
        <v>34</v>
      </c>
      <c r="K131" s="8" t="s">
        <v>143</v>
      </c>
      <c r="L131" s="7">
        <f t="shared" si="19"/>
        <v>59.146749999999997</v>
      </c>
      <c r="M131" s="7" t="s">
        <v>41</v>
      </c>
      <c r="N131" s="7">
        <f t="shared" si="18"/>
        <v>107450.98435124755</v>
      </c>
      <c r="O131" s="7">
        <f t="shared" si="17"/>
        <v>1816.6845067775923</v>
      </c>
      <c r="P131" s="9" t="s">
        <v>144</v>
      </c>
    </row>
    <row r="132" spans="1:16" x14ac:dyDescent="0.25">
      <c r="A132" s="6">
        <v>7</v>
      </c>
      <c r="B132" s="7" t="s">
        <v>177</v>
      </c>
      <c r="C132" s="7">
        <v>2363</v>
      </c>
      <c r="D132" s="7">
        <v>1172.165</v>
      </c>
      <c r="E132" s="7">
        <v>2769825</v>
      </c>
      <c r="F132" s="7">
        <v>1092</v>
      </c>
      <c r="G132" s="7">
        <v>2769825</v>
      </c>
      <c r="H132" s="7">
        <v>294.58699999999999</v>
      </c>
      <c r="I132" s="3" t="s">
        <v>309</v>
      </c>
      <c r="J132" s="7" t="s">
        <v>34</v>
      </c>
      <c r="K132" s="8" t="s">
        <v>143</v>
      </c>
      <c r="L132" s="7">
        <f t="shared" si="19"/>
        <v>73.646749999999997</v>
      </c>
      <c r="M132" s="7" t="s">
        <v>41</v>
      </c>
      <c r="N132" s="7">
        <f t="shared" si="18"/>
        <v>315635.56685368298</v>
      </c>
      <c r="O132" s="7">
        <f t="shared" si="17"/>
        <v>4285.8044225126432</v>
      </c>
      <c r="P132" s="9" t="s">
        <v>144</v>
      </c>
    </row>
    <row r="133" spans="1:16" x14ac:dyDescent="0.25">
      <c r="A133" s="6">
        <v>8</v>
      </c>
      <c r="B133" s="7" t="s">
        <v>178</v>
      </c>
      <c r="C133" s="7">
        <v>2511</v>
      </c>
      <c r="D133" s="7">
        <v>1154.952</v>
      </c>
      <c r="E133" s="7">
        <v>2900084</v>
      </c>
      <c r="F133" s="7">
        <v>1082</v>
      </c>
      <c r="G133" s="7">
        <v>2900084</v>
      </c>
      <c r="H133" s="7">
        <v>313.41000000000003</v>
      </c>
      <c r="I133" s="3" t="s">
        <v>310</v>
      </c>
      <c r="J133" s="7" t="s">
        <v>34</v>
      </c>
      <c r="K133" s="8" t="s">
        <v>143</v>
      </c>
      <c r="L133" s="7">
        <f t="shared" si="19"/>
        <v>78.352500000000006</v>
      </c>
      <c r="M133" s="7" t="s">
        <v>41</v>
      </c>
      <c r="N133" s="7">
        <f t="shared" si="18"/>
        <v>292183.16773999063</v>
      </c>
      <c r="O133" s="7">
        <f t="shared" si="17"/>
        <v>3729.0854502407788</v>
      </c>
      <c r="P133" s="9" t="s">
        <v>144</v>
      </c>
    </row>
    <row r="134" spans="1:16" x14ac:dyDescent="0.25">
      <c r="A134" s="6">
        <v>9</v>
      </c>
      <c r="B134" s="7" t="s">
        <v>179</v>
      </c>
      <c r="C134" s="7">
        <v>2508</v>
      </c>
      <c r="D134" s="7">
        <v>1149.316</v>
      </c>
      <c r="E134" s="7">
        <v>2882484</v>
      </c>
      <c r="F134" s="7">
        <v>1076</v>
      </c>
      <c r="G134" s="7">
        <v>2882484</v>
      </c>
      <c r="H134" s="7">
        <v>312.83600000000001</v>
      </c>
      <c r="I134" s="3" t="s">
        <v>311</v>
      </c>
      <c r="J134" s="7" t="s">
        <v>34</v>
      </c>
      <c r="K134" s="8" t="s">
        <v>143</v>
      </c>
      <c r="L134" s="7">
        <f>H134/4</f>
        <v>78.209000000000003</v>
      </c>
      <c r="M134" s="7" t="s">
        <v>41</v>
      </c>
      <c r="N134" s="7">
        <f>G134-(((G$136/C$136*C134)+(G$137/C$137*C134)+(G$138/C$138*C134))/3)</f>
        <v>277698.93934364663</v>
      </c>
      <c r="O134" s="7">
        <f>N134/L134</f>
        <v>3550.7286801218097</v>
      </c>
      <c r="P134" s="9" t="s">
        <v>144</v>
      </c>
    </row>
    <row r="135" spans="1:16" x14ac:dyDescent="0.25">
      <c r="A135" s="6">
        <v>10</v>
      </c>
      <c r="B135" s="7" t="s">
        <v>180</v>
      </c>
      <c r="C135" s="7">
        <v>2095</v>
      </c>
      <c r="D135" s="7">
        <v>1104.0840000000001</v>
      </c>
      <c r="E135" s="7">
        <v>2313057</v>
      </c>
      <c r="F135" s="7">
        <v>1061</v>
      </c>
      <c r="G135" s="7">
        <v>2313057</v>
      </c>
      <c r="H135" s="7">
        <v>260.96199999999999</v>
      </c>
      <c r="I135" s="3" t="s">
        <v>312</v>
      </c>
      <c r="J135" s="7" t="s">
        <v>34</v>
      </c>
      <c r="K135" s="8" t="s">
        <v>143</v>
      </c>
      <c r="L135" s="7">
        <f>H135/4</f>
        <v>65.240499999999997</v>
      </c>
      <c r="M135" s="7" t="s">
        <v>41</v>
      </c>
      <c r="N135" s="7">
        <f>G135-(((G$136/C$136*C135)+(G$137/C$137*C135)+(G$138/C$138*C135))/3)</f>
        <v>137209.83011361258</v>
      </c>
      <c r="O135" s="7">
        <f>N135/L135</f>
        <v>2103.1388495430383</v>
      </c>
      <c r="P135" s="9" t="s">
        <v>144</v>
      </c>
    </row>
    <row r="136" spans="1:16" x14ac:dyDescent="0.25">
      <c r="A136" s="6">
        <v>11</v>
      </c>
      <c r="B136" s="7" t="s">
        <v>181</v>
      </c>
      <c r="C136" s="7">
        <v>1326</v>
      </c>
      <c r="D136" s="7">
        <v>1039.211</v>
      </c>
      <c r="E136" s="7">
        <v>1377994</v>
      </c>
      <c r="F136" s="7">
        <v>1039</v>
      </c>
      <c r="G136" s="7">
        <v>1377994</v>
      </c>
      <c r="H136" s="7">
        <v>164.827</v>
      </c>
      <c r="I136" s="7" t="s">
        <v>23</v>
      </c>
      <c r="J136" s="7"/>
      <c r="K136" s="8" t="s">
        <v>143</v>
      </c>
      <c r="L136" s="7">
        <f t="shared" si="19"/>
        <v>41.20675</v>
      </c>
      <c r="M136" s="7" t="s">
        <v>41</v>
      </c>
      <c r="N136" s="7"/>
      <c r="O136" s="7">
        <f t="shared" si="17"/>
        <v>0</v>
      </c>
      <c r="P136" s="9" t="s">
        <v>144</v>
      </c>
    </row>
    <row r="137" spans="1:16" x14ac:dyDescent="0.25">
      <c r="A137" s="6">
        <v>12</v>
      </c>
      <c r="B137" s="7" t="s">
        <v>182</v>
      </c>
      <c r="C137" s="7">
        <v>1339</v>
      </c>
      <c r="D137" s="7">
        <v>1038.471</v>
      </c>
      <c r="E137" s="7">
        <v>1390513</v>
      </c>
      <c r="F137" s="7">
        <v>1038</v>
      </c>
      <c r="G137" s="7">
        <v>1390513</v>
      </c>
      <c r="H137" s="7">
        <v>166.642</v>
      </c>
      <c r="I137" s="7" t="s">
        <v>23</v>
      </c>
      <c r="J137" s="7"/>
      <c r="K137" s="8" t="s">
        <v>143</v>
      </c>
      <c r="L137" s="7">
        <f t="shared" si="19"/>
        <v>41.660499999999999</v>
      </c>
      <c r="M137" s="7" t="s">
        <v>41</v>
      </c>
      <c r="N137" s="7"/>
      <c r="O137" s="7">
        <f t="shared" si="17"/>
        <v>0</v>
      </c>
      <c r="P137" s="9" t="s">
        <v>144</v>
      </c>
    </row>
    <row r="138" spans="1:16" x14ac:dyDescent="0.25">
      <c r="A138" s="10">
        <v>13</v>
      </c>
      <c r="B138" s="11" t="s">
        <v>183</v>
      </c>
      <c r="C138" s="11">
        <v>1379</v>
      </c>
      <c r="D138" s="11">
        <v>1038.0889999999999</v>
      </c>
      <c r="E138" s="11">
        <v>1431525</v>
      </c>
      <c r="F138" s="11">
        <v>1037</v>
      </c>
      <c r="G138" s="11">
        <v>1431525</v>
      </c>
      <c r="H138" s="11">
        <v>170.98</v>
      </c>
      <c r="I138" s="11" t="s">
        <v>23</v>
      </c>
      <c r="J138" s="11"/>
      <c r="K138" s="12" t="s">
        <v>143</v>
      </c>
      <c r="L138" s="11">
        <f t="shared" si="19"/>
        <v>42.744999999999997</v>
      </c>
      <c r="M138" s="11" t="s">
        <v>41</v>
      </c>
      <c r="N138" s="11"/>
      <c r="O138" s="11">
        <f t="shared" si="17"/>
        <v>0</v>
      </c>
      <c r="P138" s="13" t="s">
        <v>144</v>
      </c>
    </row>
    <row r="139" spans="1:16" x14ac:dyDescent="0.25">
      <c r="A139" s="2">
        <v>1</v>
      </c>
      <c r="B139" s="3" t="s">
        <v>184</v>
      </c>
      <c r="C139" s="3">
        <v>2043</v>
      </c>
      <c r="D139" s="3">
        <v>1137.1679999999999</v>
      </c>
      <c r="E139" s="3">
        <v>2323235</v>
      </c>
      <c r="F139" s="3">
        <v>1075</v>
      </c>
      <c r="G139" s="3">
        <v>2323235</v>
      </c>
      <c r="H139" s="3">
        <v>254.041</v>
      </c>
      <c r="I139" s="3" t="s">
        <v>313</v>
      </c>
      <c r="J139" s="3" t="s">
        <v>34</v>
      </c>
      <c r="K139" s="4" t="s">
        <v>143</v>
      </c>
      <c r="L139" s="3">
        <f t="shared" si="19"/>
        <v>63.510249999999999</v>
      </c>
      <c r="M139" s="3" t="s">
        <v>42</v>
      </c>
      <c r="N139" s="3">
        <f>G139-(((G$149/C$149*C139)+(G$150/C$150*C139)+(G$151/C$151*C139))/3)</f>
        <v>198095.79782583797</v>
      </c>
      <c r="O139" s="3">
        <f t="shared" si="17"/>
        <v>3119.1153841441023</v>
      </c>
      <c r="P139" s="5" t="s">
        <v>144</v>
      </c>
    </row>
    <row r="140" spans="1:16" x14ac:dyDescent="0.25">
      <c r="A140" s="6">
        <v>2</v>
      </c>
      <c r="B140" s="7" t="s">
        <v>185</v>
      </c>
      <c r="C140" s="7">
        <v>1760</v>
      </c>
      <c r="D140" s="7">
        <v>1089.556</v>
      </c>
      <c r="E140" s="7">
        <v>1917618</v>
      </c>
      <c r="F140" s="7">
        <v>1066</v>
      </c>
      <c r="G140" s="7">
        <v>1917618</v>
      </c>
      <c r="H140" s="7">
        <v>219.202</v>
      </c>
      <c r="I140" s="3" t="s">
        <v>314</v>
      </c>
      <c r="J140" s="7" t="s">
        <v>34</v>
      </c>
      <c r="K140" s="8" t="s">
        <v>143</v>
      </c>
      <c r="L140" s="7">
        <f t="shared" si="19"/>
        <v>54.8005</v>
      </c>
      <c r="M140" s="7" t="s">
        <v>42</v>
      </c>
      <c r="N140" s="7">
        <f>G140-(((G$149/C$149*C140)+(G$150/C$150*C140)+(G$151/C$151*C140))/3)</f>
        <v>86856.866457892815</v>
      </c>
      <c r="O140" s="7">
        <f t="shared" si="17"/>
        <v>1584.9648535668985</v>
      </c>
      <c r="P140" s="9" t="s">
        <v>144</v>
      </c>
    </row>
    <row r="141" spans="1:16" x14ac:dyDescent="0.25">
      <c r="A141" s="6">
        <v>3</v>
      </c>
      <c r="B141" s="7" t="s">
        <v>186</v>
      </c>
      <c r="C141" s="7">
        <v>2159</v>
      </c>
      <c r="D141" s="7">
        <v>1100.6990000000001</v>
      </c>
      <c r="E141" s="7">
        <v>2376409</v>
      </c>
      <c r="F141" s="7">
        <v>1068</v>
      </c>
      <c r="G141" s="7">
        <v>2376409</v>
      </c>
      <c r="H141" s="7">
        <v>269.39999999999998</v>
      </c>
      <c r="I141" s="3" t="s">
        <v>315</v>
      </c>
      <c r="J141" s="7" t="s">
        <v>34</v>
      </c>
      <c r="K141" s="8" t="s">
        <v>143</v>
      </c>
      <c r="L141" s="7">
        <f t="shared" si="19"/>
        <v>67.349999999999994</v>
      </c>
      <c r="M141" s="7" t="s">
        <v>42</v>
      </c>
      <c r="N141" s="7">
        <f t="shared" ref="N141:N146" si="20">G141-(((G$149/C$149*C141)+(G$150/C$150*C141)+(G$151/C$151*C141))/3)</f>
        <v>130605.99584238091</v>
      </c>
      <c r="O141" s="7">
        <f t="shared" si="17"/>
        <v>1939.2130043412164</v>
      </c>
      <c r="P141" s="9" t="s">
        <v>144</v>
      </c>
    </row>
    <row r="142" spans="1:16" x14ac:dyDescent="0.25">
      <c r="A142" s="6">
        <v>4</v>
      </c>
      <c r="B142" s="7" t="s">
        <v>187</v>
      </c>
      <c r="C142" s="7">
        <v>1915</v>
      </c>
      <c r="D142" s="7">
        <v>1140.9659999999999</v>
      </c>
      <c r="E142" s="7">
        <v>2184949</v>
      </c>
      <c r="F142" s="7">
        <v>1085</v>
      </c>
      <c r="G142" s="7">
        <v>2184949</v>
      </c>
      <c r="H142" s="7">
        <v>237.82</v>
      </c>
      <c r="I142" s="3" t="s">
        <v>316</v>
      </c>
      <c r="J142" s="7" t="s">
        <v>34</v>
      </c>
      <c r="K142" s="8" t="s">
        <v>143</v>
      </c>
      <c r="L142" s="7">
        <f t="shared" si="19"/>
        <v>59.454999999999998</v>
      </c>
      <c r="M142" s="7" t="s">
        <v>42</v>
      </c>
      <c r="N142" s="7">
        <f t="shared" si="20"/>
        <v>192956.06208344619</v>
      </c>
      <c r="O142" s="7">
        <f t="shared" si="17"/>
        <v>3245.4135410553558</v>
      </c>
      <c r="P142" s="9" t="s">
        <v>144</v>
      </c>
    </row>
    <row r="143" spans="1:16" x14ac:dyDescent="0.25">
      <c r="A143" s="6">
        <v>5</v>
      </c>
      <c r="B143" s="7" t="s">
        <v>188</v>
      </c>
      <c r="C143" s="7">
        <v>1967</v>
      </c>
      <c r="D143" s="7">
        <v>1236.498</v>
      </c>
      <c r="E143" s="7">
        <v>2432191</v>
      </c>
      <c r="F143" s="7">
        <v>1102</v>
      </c>
      <c r="G143" s="7">
        <v>2432191</v>
      </c>
      <c r="H143" s="7">
        <v>244.81100000000001</v>
      </c>
      <c r="I143" s="3" t="s">
        <v>317</v>
      </c>
      <c r="J143" s="7" t="s">
        <v>34</v>
      </c>
      <c r="K143" s="8" t="s">
        <v>143</v>
      </c>
      <c r="L143" s="7">
        <f t="shared" si="19"/>
        <v>61.202750000000002</v>
      </c>
      <c r="M143" s="7" t="s">
        <v>42</v>
      </c>
      <c r="N143" s="7">
        <f t="shared" si="20"/>
        <v>386107.39222879265</v>
      </c>
      <c r="O143" s="7">
        <f t="shared" si="17"/>
        <v>6308.660840056903</v>
      </c>
      <c r="P143" s="9" t="s">
        <v>144</v>
      </c>
    </row>
    <row r="144" spans="1:16" x14ac:dyDescent="0.25">
      <c r="A144" s="6">
        <v>6</v>
      </c>
      <c r="B144" s="7" t="s">
        <v>189</v>
      </c>
      <c r="C144" s="7">
        <v>2177</v>
      </c>
      <c r="D144" s="7">
        <v>1199.164</v>
      </c>
      <c r="E144" s="7">
        <v>2610580</v>
      </c>
      <c r="F144" s="7">
        <v>1095</v>
      </c>
      <c r="G144" s="7">
        <v>2610580</v>
      </c>
      <c r="H144" s="7">
        <v>270.94400000000002</v>
      </c>
      <c r="I144" s="3" t="s">
        <v>318</v>
      </c>
      <c r="J144" s="7" t="s">
        <v>34</v>
      </c>
      <c r="K144" s="8" t="s">
        <v>143</v>
      </c>
      <c r="L144" s="7">
        <f t="shared" si="19"/>
        <v>67.736000000000004</v>
      </c>
      <c r="M144" s="7" t="s">
        <v>42</v>
      </c>
      <c r="N144" s="7">
        <f t="shared" si="20"/>
        <v>346053.302431155</v>
      </c>
      <c r="O144" s="7">
        <f t="shared" si="17"/>
        <v>5108.8535259117007</v>
      </c>
      <c r="P144" s="9" t="s">
        <v>144</v>
      </c>
    </row>
    <row r="145" spans="1:16" x14ac:dyDescent="0.25">
      <c r="A145" s="6">
        <v>7</v>
      </c>
      <c r="B145" s="7" t="s">
        <v>190</v>
      </c>
      <c r="C145" s="7">
        <v>1942</v>
      </c>
      <c r="D145" s="7">
        <v>1125.578</v>
      </c>
      <c r="E145" s="7">
        <v>2185873</v>
      </c>
      <c r="F145" s="7">
        <v>1074</v>
      </c>
      <c r="G145" s="7">
        <v>2185873</v>
      </c>
      <c r="H145" s="7">
        <v>241.55099999999999</v>
      </c>
      <c r="I145" s="3" t="s">
        <v>319</v>
      </c>
      <c r="J145" s="7" t="s">
        <v>34</v>
      </c>
      <c r="K145" s="8" t="s">
        <v>143</v>
      </c>
      <c r="L145" s="7">
        <f t="shared" si="19"/>
        <v>60.387749999999997</v>
      </c>
      <c r="M145" s="7" t="s">
        <v>42</v>
      </c>
      <c r="N145" s="7">
        <f t="shared" si="20"/>
        <v>165794.52196660661</v>
      </c>
      <c r="O145" s="7">
        <f t="shared" si="17"/>
        <v>2745.4992439129892</v>
      </c>
      <c r="P145" s="9" t="s">
        <v>144</v>
      </c>
    </row>
    <row r="146" spans="1:16" x14ac:dyDescent="0.25">
      <c r="A146" s="6">
        <v>8</v>
      </c>
      <c r="B146" s="7" t="s">
        <v>191</v>
      </c>
      <c r="C146" s="7">
        <v>1890</v>
      </c>
      <c r="D146" s="7">
        <v>1106.0730000000001</v>
      </c>
      <c r="E146" s="7">
        <v>2090478</v>
      </c>
      <c r="F146" s="7">
        <v>1068</v>
      </c>
      <c r="G146" s="7">
        <v>2090478</v>
      </c>
      <c r="H146" s="7">
        <v>235.05199999999999</v>
      </c>
      <c r="I146" s="3" t="s">
        <v>320</v>
      </c>
      <c r="J146" s="7" t="s">
        <v>34</v>
      </c>
      <c r="K146" s="8" t="s">
        <v>143</v>
      </c>
      <c r="L146" s="7">
        <f t="shared" si="19"/>
        <v>58.762999999999998</v>
      </c>
      <c r="M146" s="7" t="s">
        <v>42</v>
      </c>
      <c r="N146" s="7">
        <f t="shared" si="20"/>
        <v>124490.19182125968</v>
      </c>
      <c r="O146" s="7">
        <f t="shared" si="17"/>
        <v>2118.513211055591</v>
      </c>
      <c r="P146" s="9" t="s">
        <v>144</v>
      </c>
    </row>
    <row r="147" spans="1:16" x14ac:dyDescent="0.25">
      <c r="A147" s="6">
        <v>9</v>
      </c>
      <c r="B147" s="7" t="s">
        <v>192</v>
      </c>
      <c r="C147" s="7">
        <v>2265</v>
      </c>
      <c r="D147" s="7">
        <v>1144.241</v>
      </c>
      <c r="E147" s="7">
        <v>2591706</v>
      </c>
      <c r="F147" s="7">
        <v>1065</v>
      </c>
      <c r="G147" s="7">
        <v>2591706</v>
      </c>
      <c r="H147" s="7">
        <v>282.70299999999997</v>
      </c>
      <c r="I147" s="3" t="s">
        <v>321</v>
      </c>
      <c r="J147" s="7" t="s">
        <v>34</v>
      </c>
      <c r="K147" s="8" t="s">
        <v>143</v>
      </c>
      <c r="L147" s="7">
        <f>H147/4</f>
        <v>70.675749999999994</v>
      </c>
      <c r="M147" s="7" t="s">
        <v>42</v>
      </c>
      <c r="N147" s="7">
        <f>G147-(((G$149/C$149*C147)+(G$150/C$150*C147)+(G$151/C$151*C147))/3)</f>
        <v>235641.24575404963</v>
      </c>
      <c r="O147" s="7">
        <f>N147/L147</f>
        <v>3334.1173705839647</v>
      </c>
      <c r="P147" s="9" t="s">
        <v>144</v>
      </c>
    </row>
    <row r="148" spans="1:16" x14ac:dyDescent="0.25">
      <c r="A148" s="6">
        <v>10</v>
      </c>
      <c r="B148" s="7" t="s">
        <v>193</v>
      </c>
      <c r="C148" s="7">
        <v>2149</v>
      </c>
      <c r="D148" s="7">
        <v>1187.49</v>
      </c>
      <c r="E148" s="7">
        <v>2551917</v>
      </c>
      <c r="F148" s="7">
        <v>1078</v>
      </c>
      <c r="G148" s="7">
        <v>2551917</v>
      </c>
      <c r="H148" s="7">
        <v>267.52199999999999</v>
      </c>
      <c r="I148" s="3" t="s">
        <v>322</v>
      </c>
      <c r="J148" s="7" t="s">
        <v>34</v>
      </c>
      <c r="K148" s="8" t="s">
        <v>143</v>
      </c>
      <c r="L148" s="7">
        <f>H148/4</f>
        <v>66.880499999999998</v>
      </c>
      <c r="M148" s="7" t="s">
        <v>42</v>
      </c>
      <c r="N148" s="7">
        <f>G148-(((G$149/C$149*C148)+(G$150/C$150*C148)+(G$151/C$151*C148))/3)</f>
        <v>316516.04773750668</v>
      </c>
      <c r="O148" s="7">
        <f>N148/L148</f>
        <v>4732.5610265698779</v>
      </c>
      <c r="P148" s="9" t="s">
        <v>144</v>
      </c>
    </row>
    <row r="149" spans="1:16" x14ac:dyDescent="0.25">
      <c r="A149" s="6">
        <v>11</v>
      </c>
      <c r="B149" s="7" t="s">
        <v>194</v>
      </c>
      <c r="C149" s="7">
        <v>1742</v>
      </c>
      <c r="D149" s="7">
        <v>1041.1489999999999</v>
      </c>
      <c r="E149" s="7">
        <v>1813682</v>
      </c>
      <c r="F149" s="7">
        <v>1041</v>
      </c>
      <c r="G149" s="7">
        <v>1813682</v>
      </c>
      <c r="H149" s="7">
        <v>216.81100000000001</v>
      </c>
      <c r="I149" s="7" t="s">
        <v>23</v>
      </c>
      <c r="J149" s="7"/>
      <c r="K149" s="8" t="s">
        <v>143</v>
      </c>
      <c r="L149" s="7">
        <f t="shared" si="19"/>
        <v>54.202750000000002</v>
      </c>
      <c r="M149" s="7" t="s">
        <v>42</v>
      </c>
      <c r="N149" s="7"/>
      <c r="O149" s="7">
        <f t="shared" si="17"/>
        <v>0</v>
      </c>
      <c r="P149" s="9" t="s">
        <v>144</v>
      </c>
    </row>
    <row r="150" spans="1:16" x14ac:dyDescent="0.25">
      <c r="A150" s="6">
        <v>12</v>
      </c>
      <c r="B150" s="7" t="s">
        <v>195</v>
      </c>
      <c r="C150" s="7">
        <v>1999</v>
      </c>
      <c r="D150" s="7">
        <v>1039.566</v>
      </c>
      <c r="E150" s="7">
        <v>2078092</v>
      </c>
      <c r="F150" s="7">
        <v>1040</v>
      </c>
      <c r="G150" s="7">
        <v>2078092</v>
      </c>
      <c r="H150" s="7">
        <v>248.476</v>
      </c>
      <c r="I150" s="7" t="s">
        <v>23</v>
      </c>
      <c r="J150" s="7"/>
      <c r="K150" s="8" t="s">
        <v>143</v>
      </c>
      <c r="L150" s="7">
        <f t="shared" si="19"/>
        <v>62.119</v>
      </c>
      <c r="M150" s="7" t="s">
        <v>42</v>
      </c>
      <c r="N150" s="7"/>
      <c r="O150" s="7">
        <f t="shared" si="17"/>
        <v>0</v>
      </c>
      <c r="P150" s="9" t="s">
        <v>144</v>
      </c>
    </row>
    <row r="151" spans="1:16" x14ac:dyDescent="0.25">
      <c r="A151" s="10">
        <v>13</v>
      </c>
      <c r="B151" s="11" t="s">
        <v>196</v>
      </c>
      <c r="C151" s="11">
        <v>1880</v>
      </c>
      <c r="D151" s="11">
        <v>1039.9010000000001</v>
      </c>
      <c r="E151" s="11">
        <v>1955013</v>
      </c>
      <c r="F151" s="11">
        <v>1040</v>
      </c>
      <c r="G151" s="11">
        <v>1955013</v>
      </c>
      <c r="H151" s="11">
        <v>234.654</v>
      </c>
      <c r="I151" s="7" t="s">
        <v>23</v>
      </c>
      <c r="J151" s="11"/>
      <c r="K151" s="12" t="s">
        <v>143</v>
      </c>
      <c r="L151" s="11">
        <f t="shared" si="19"/>
        <v>58.663499999999999</v>
      </c>
      <c r="M151" s="11" t="s">
        <v>42</v>
      </c>
      <c r="N151" s="11"/>
      <c r="O151" s="11">
        <f t="shared" si="17"/>
        <v>0</v>
      </c>
      <c r="P151" s="13" t="s">
        <v>144</v>
      </c>
    </row>
    <row r="152" spans="1:16" x14ac:dyDescent="0.25">
      <c r="A152" s="2">
        <v>1</v>
      </c>
      <c r="B152" s="3" t="s">
        <v>198</v>
      </c>
      <c r="C152" s="3">
        <v>2750</v>
      </c>
      <c r="D152" s="3">
        <v>1161.7909999999999</v>
      </c>
      <c r="E152" s="3">
        <v>3194925</v>
      </c>
      <c r="F152" s="3">
        <v>1091</v>
      </c>
      <c r="G152" s="3">
        <v>3194925</v>
      </c>
      <c r="H152" s="3">
        <v>342.90699999999998</v>
      </c>
      <c r="I152" s="3" t="s">
        <v>36</v>
      </c>
      <c r="J152" s="3" t="s">
        <v>34</v>
      </c>
      <c r="K152" s="4" t="s">
        <v>142</v>
      </c>
      <c r="L152" s="3">
        <f>H152/4</f>
        <v>85.726749999999996</v>
      </c>
      <c r="M152" s="3" t="s">
        <v>13</v>
      </c>
      <c r="N152" s="3">
        <f t="shared" ref="N152:N157" si="21">G152-(((G$162/C$162*C152)+(G$163/C$163*C152)+(G$164/C$164*C152))/3)</f>
        <v>331604.83024511626</v>
      </c>
      <c r="O152" s="3">
        <f t="shared" si="17"/>
        <v>3868.1605245167498</v>
      </c>
      <c r="P152" s="5" t="s">
        <v>197</v>
      </c>
    </row>
    <row r="153" spans="1:16" x14ac:dyDescent="0.25">
      <c r="A153" s="6">
        <v>2</v>
      </c>
      <c r="B153" s="7" t="s">
        <v>199</v>
      </c>
      <c r="C153" s="7">
        <v>2136</v>
      </c>
      <c r="D153" s="7">
        <v>1112.3019999999999</v>
      </c>
      <c r="E153" s="7">
        <v>2375878</v>
      </c>
      <c r="F153" s="7">
        <v>1076</v>
      </c>
      <c r="G153" s="7">
        <v>2375878</v>
      </c>
      <c r="H153" s="7">
        <v>266.11599999999999</v>
      </c>
      <c r="I153" s="7" t="s">
        <v>16</v>
      </c>
      <c r="J153" s="7" t="s">
        <v>34</v>
      </c>
      <c r="K153" s="8" t="s">
        <v>142</v>
      </c>
      <c r="L153" s="7">
        <f t="shared" si="19"/>
        <v>66.528999999999996</v>
      </c>
      <c r="M153" s="7" t="s">
        <v>13</v>
      </c>
      <c r="N153" s="7">
        <f t="shared" si="21"/>
        <v>151859.13360129762</v>
      </c>
      <c r="O153" s="7">
        <f t="shared" si="17"/>
        <v>2282.6005742051984</v>
      </c>
      <c r="P153" s="9" t="s">
        <v>197</v>
      </c>
    </row>
    <row r="154" spans="1:16" x14ac:dyDescent="0.25">
      <c r="A154" s="6">
        <v>3</v>
      </c>
      <c r="B154" s="7" t="s">
        <v>200</v>
      </c>
      <c r="C154" s="7">
        <v>2413</v>
      </c>
      <c r="D154" s="7">
        <v>1145.7670000000001</v>
      </c>
      <c r="E154" s="7">
        <v>2764735</v>
      </c>
      <c r="F154" s="7">
        <v>1091</v>
      </c>
      <c r="G154" s="7">
        <v>2764735</v>
      </c>
      <c r="H154" s="7">
        <v>300.678</v>
      </c>
      <c r="I154" s="7" t="s">
        <v>17</v>
      </c>
      <c r="J154" s="7" t="s">
        <v>34</v>
      </c>
      <c r="K154" s="8" t="s">
        <v>142</v>
      </c>
      <c r="L154" s="7">
        <f t="shared" si="19"/>
        <v>75.169499999999999</v>
      </c>
      <c r="M154" s="7" t="s">
        <v>13</v>
      </c>
      <c r="N154" s="7">
        <f t="shared" si="21"/>
        <v>252301.70195689658</v>
      </c>
      <c r="O154" s="7">
        <f t="shared" si="17"/>
        <v>3356.4371448113475</v>
      </c>
      <c r="P154" s="9" t="s">
        <v>197</v>
      </c>
    </row>
    <row r="155" spans="1:16" x14ac:dyDescent="0.25">
      <c r="A155" s="6">
        <v>4</v>
      </c>
      <c r="B155" s="7" t="s">
        <v>201</v>
      </c>
      <c r="C155" s="7">
        <v>2747</v>
      </c>
      <c r="D155" s="7">
        <v>1155.432</v>
      </c>
      <c r="E155" s="7">
        <v>3173972</v>
      </c>
      <c r="F155" s="7">
        <v>1090</v>
      </c>
      <c r="G155" s="7">
        <v>3173972</v>
      </c>
      <c r="H155" s="7">
        <v>342.08300000000003</v>
      </c>
      <c r="I155" s="7" t="s">
        <v>18</v>
      </c>
      <c r="J155" s="7" t="s">
        <v>34</v>
      </c>
      <c r="K155" s="8" t="s">
        <v>142</v>
      </c>
      <c r="L155" s="7">
        <f t="shared" si="19"/>
        <v>85.520750000000007</v>
      </c>
      <c r="M155" s="7" t="s">
        <v>13</v>
      </c>
      <c r="N155" s="7">
        <f t="shared" si="21"/>
        <v>313775.45224848529</v>
      </c>
      <c r="O155" s="7">
        <f t="shared" si="17"/>
        <v>3668.9979010764669</v>
      </c>
      <c r="P155" s="9" t="s">
        <v>197</v>
      </c>
    </row>
    <row r="156" spans="1:16" x14ac:dyDescent="0.25">
      <c r="A156" s="6">
        <v>5</v>
      </c>
      <c r="B156" s="7" t="s">
        <v>202</v>
      </c>
      <c r="C156" s="7">
        <v>1672</v>
      </c>
      <c r="D156" s="7">
        <v>1205.4870000000001</v>
      </c>
      <c r="E156" s="7">
        <v>2015575</v>
      </c>
      <c r="F156" s="7">
        <v>1107</v>
      </c>
      <c r="G156" s="7">
        <v>2015575</v>
      </c>
      <c r="H156" s="7">
        <v>208.46299999999999</v>
      </c>
      <c r="I156" s="7" t="s">
        <v>19</v>
      </c>
      <c r="J156" s="7" t="s">
        <v>34</v>
      </c>
      <c r="K156" s="8" t="s">
        <v>142</v>
      </c>
      <c r="L156" s="7">
        <f t="shared" si="19"/>
        <v>52.115749999999998</v>
      </c>
      <c r="M156" s="7" t="s">
        <v>13</v>
      </c>
      <c r="N156" s="7">
        <f t="shared" si="21"/>
        <v>274676.33678903058</v>
      </c>
      <c r="O156" s="7">
        <f t="shared" si="17"/>
        <v>5270.505303848272</v>
      </c>
      <c r="P156" s="9" t="s">
        <v>197</v>
      </c>
    </row>
    <row r="157" spans="1:16" x14ac:dyDescent="0.25">
      <c r="A157" s="6">
        <v>6</v>
      </c>
      <c r="B157" s="7" t="s">
        <v>203</v>
      </c>
      <c r="C157" s="7">
        <v>2191</v>
      </c>
      <c r="D157" s="7">
        <v>1070.4949999999999</v>
      </c>
      <c r="E157" s="7">
        <v>2345454</v>
      </c>
      <c r="F157" s="7">
        <v>1060</v>
      </c>
      <c r="G157" s="7">
        <v>2345454</v>
      </c>
      <c r="H157" s="7">
        <v>274.13799999999998</v>
      </c>
      <c r="I157" s="7" t="s">
        <v>20</v>
      </c>
      <c r="J157" s="7" t="s">
        <v>34</v>
      </c>
      <c r="K157" s="8" t="s">
        <v>142</v>
      </c>
      <c r="L157" s="7">
        <f t="shared" si="19"/>
        <v>68.534499999999994</v>
      </c>
      <c r="M157" s="7" t="s">
        <v>13</v>
      </c>
      <c r="N157" s="7">
        <f t="shared" si="21"/>
        <v>64168.730206199456</v>
      </c>
      <c r="O157" s="7">
        <f t="shared" si="17"/>
        <v>936.29821777644054</v>
      </c>
      <c r="P157" s="9" t="s">
        <v>197</v>
      </c>
    </row>
    <row r="158" spans="1:16" x14ac:dyDescent="0.25">
      <c r="A158" s="6">
        <v>7</v>
      </c>
      <c r="B158" s="7" t="s">
        <v>204</v>
      </c>
      <c r="C158" s="7">
        <v>2442</v>
      </c>
      <c r="D158" s="7">
        <v>1122.424</v>
      </c>
      <c r="E158" s="7">
        <v>2740959</v>
      </c>
      <c r="F158" s="7">
        <v>1081</v>
      </c>
      <c r="G158" s="7">
        <v>2740959</v>
      </c>
      <c r="H158" s="7">
        <v>304.77300000000002</v>
      </c>
      <c r="I158" s="7" t="s">
        <v>21</v>
      </c>
      <c r="J158" s="7" t="s">
        <v>34</v>
      </c>
      <c r="K158" s="8" t="s">
        <v>142</v>
      </c>
      <c r="L158" s="7">
        <f t="shared" si="19"/>
        <v>76.193250000000006</v>
      </c>
      <c r="M158" s="7" t="s">
        <v>13</v>
      </c>
      <c r="N158" s="7">
        <f>G158-(((G$162/C$162*C158)+(G$163/C$163*C158)+(G$164/C$164*C158))/3)</f>
        <v>198330.68925766321</v>
      </c>
      <c r="O158" s="7">
        <f t="shared" si="17"/>
        <v>2602.9955312007714</v>
      </c>
      <c r="P158" s="9" t="s">
        <v>197</v>
      </c>
    </row>
    <row r="159" spans="1:16" x14ac:dyDescent="0.25">
      <c r="A159" s="6">
        <v>8</v>
      </c>
      <c r="B159" s="7" t="s">
        <v>205</v>
      </c>
      <c r="C159" s="7">
        <v>3060</v>
      </c>
      <c r="D159" s="7">
        <v>1306.441</v>
      </c>
      <c r="E159" s="7">
        <v>3997710</v>
      </c>
      <c r="F159" s="7">
        <v>1113</v>
      </c>
      <c r="G159" s="7">
        <v>3997710</v>
      </c>
      <c r="H159" s="7">
        <v>381.18900000000002</v>
      </c>
      <c r="I159" s="7" t="s">
        <v>22</v>
      </c>
      <c r="J159" s="7" t="s">
        <v>34</v>
      </c>
      <c r="K159" s="8" t="s">
        <v>142</v>
      </c>
      <c r="L159" s="7">
        <f t="shared" si="19"/>
        <v>95.297250000000005</v>
      </c>
      <c r="M159" s="7" t="s">
        <v>13</v>
      </c>
      <c r="N159" s="7">
        <f>G159-(((G$162/C$162*C159)+(G$163/C$163*C159)+(G$164/C$164*C159))/3)</f>
        <v>811615.55656365678</v>
      </c>
      <c r="O159" s="7">
        <f t="shared" si="17"/>
        <v>8516.6734251372072</v>
      </c>
      <c r="P159" s="9" t="s">
        <v>197</v>
      </c>
    </row>
    <row r="160" spans="1:16" x14ac:dyDescent="0.25">
      <c r="A160" s="6">
        <v>9</v>
      </c>
      <c r="B160" s="7" t="s">
        <v>206</v>
      </c>
      <c r="C160" s="7">
        <v>2668</v>
      </c>
      <c r="D160" s="7">
        <v>1229.3130000000001</v>
      </c>
      <c r="E160" s="7">
        <v>3279808</v>
      </c>
      <c r="F160" s="7">
        <v>1096</v>
      </c>
      <c r="G160" s="7">
        <v>3279808</v>
      </c>
      <c r="H160" s="7">
        <v>333.6</v>
      </c>
      <c r="I160" s="7" t="s">
        <v>24</v>
      </c>
      <c r="J160" s="7" t="s">
        <v>34</v>
      </c>
      <c r="K160" s="8" t="s">
        <v>142</v>
      </c>
      <c r="L160" s="7">
        <f>H160/4</f>
        <v>83.4</v>
      </c>
      <c r="M160" s="7" t="s">
        <v>13</v>
      </c>
      <c r="N160" s="7">
        <f>G160-(((G$162/C$162*C160)+(G$163/C$163*C160)+(G$164/C$164*C160))/3)</f>
        <v>501866.83167053433</v>
      </c>
      <c r="O160" s="7">
        <f t="shared" si="17"/>
        <v>6017.5879097186371</v>
      </c>
      <c r="P160" s="9" t="s">
        <v>197</v>
      </c>
    </row>
    <row r="161" spans="1:16" x14ac:dyDescent="0.25">
      <c r="A161" s="6">
        <v>10</v>
      </c>
      <c r="B161" s="7" t="s">
        <v>207</v>
      </c>
      <c r="C161" s="7">
        <v>2815</v>
      </c>
      <c r="D161" s="7">
        <v>1154.5039999999999</v>
      </c>
      <c r="E161" s="7">
        <v>3249928</v>
      </c>
      <c r="F161" s="7">
        <v>1090</v>
      </c>
      <c r="G161" s="7">
        <v>3249928</v>
      </c>
      <c r="H161" s="7">
        <v>350.95499999999998</v>
      </c>
      <c r="I161" s="7" t="s">
        <v>25</v>
      </c>
      <c r="J161" s="7" t="s">
        <v>34</v>
      </c>
      <c r="K161" s="8" t="s">
        <v>142</v>
      </c>
      <c r="L161" s="7">
        <f>H161/4</f>
        <v>87.738749999999996</v>
      </c>
      <c r="M161" s="7" t="s">
        <v>13</v>
      </c>
      <c r="N161" s="7">
        <f>G161-(((G$162/C$162*C161)+(G$163/C$163*C161)+(G$164/C$164*C161))/3)</f>
        <v>318929.35350545496</v>
      </c>
      <c r="O161" s="7">
        <f t="shared" si="17"/>
        <v>3634.9885712465129</v>
      </c>
      <c r="P161" s="9" t="s">
        <v>197</v>
      </c>
    </row>
    <row r="162" spans="1:16" x14ac:dyDescent="0.25">
      <c r="A162" s="6">
        <v>11</v>
      </c>
      <c r="B162" s="7" t="s">
        <v>208</v>
      </c>
      <c r="C162" s="7">
        <v>1842</v>
      </c>
      <c r="D162" s="7">
        <v>1041.3699999999999</v>
      </c>
      <c r="E162" s="7">
        <v>1918203</v>
      </c>
      <c r="F162" s="7">
        <v>1042</v>
      </c>
      <c r="G162" s="7">
        <v>1918203</v>
      </c>
      <c r="H162" s="7">
        <v>229.31800000000001</v>
      </c>
      <c r="I162" s="7" t="s">
        <v>23</v>
      </c>
      <c r="J162" s="7"/>
      <c r="K162" s="8" t="s">
        <v>142</v>
      </c>
      <c r="L162" s="7">
        <f t="shared" si="19"/>
        <v>57.329500000000003</v>
      </c>
      <c r="M162" s="7" t="s">
        <v>13</v>
      </c>
      <c r="N162" s="7"/>
      <c r="O162" s="7">
        <f t="shared" si="17"/>
        <v>0</v>
      </c>
      <c r="P162" s="9" t="s">
        <v>197</v>
      </c>
    </row>
    <row r="163" spans="1:16" x14ac:dyDescent="0.25">
      <c r="A163" s="6">
        <v>12</v>
      </c>
      <c r="B163" s="7" t="s">
        <v>209</v>
      </c>
      <c r="C163" s="7">
        <v>2060</v>
      </c>
      <c r="D163" s="7">
        <v>1041.0830000000001</v>
      </c>
      <c r="E163" s="7">
        <v>2144630</v>
      </c>
      <c r="F163" s="7">
        <v>1041</v>
      </c>
      <c r="G163" s="7">
        <v>2144630</v>
      </c>
      <c r="H163" s="7">
        <v>256.37099999999998</v>
      </c>
      <c r="I163" s="7" t="s">
        <v>23</v>
      </c>
      <c r="J163" s="7"/>
      <c r="K163" s="8" t="s">
        <v>142</v>
      </c>
      <c r="L163" s="7">
        <f t="shared" si="19"/>
        <v>64.092749999999995</v>
      </c>
      <c r="M163" s="7" t="s">
        <v>13</v>
      </c>
      <c r="N163" s="7"/>
      <c r="O163" s="7">
        <f t="shared" si="17"/>
        <v>0</v>
      </c>
      <c r="P163" s="9" t="s">
        <v>197</v>
      </c>
    </row>
    <row r="164" spans="1:16" x14ac:dyDescent="0.25">
      <c r="A164" s="10">
        <v>13</v>
      </c>
      <c r="B164" s="11" t="s">
        <v>210</v>
      </c>
      <c r="C164" s="11">
        <v>1932</v>
      </c>
      <c r="D164" s="11">
        <v>1041.17</v>
      </c>
      <c r="E164" s="11">
        <v>2011540</v>
      </c>
      <c r="F164" s="11">
        <v>1040</v>
      </c>
      <c r="G164" s="11">
        <v>2011540</v>
      </c>
      <c r="H164" s="11">
        <v>240.64699999999999</v>
      </c>
      <c r="I164" s="7" t="s">
        <v>23</v>
      </c>
      <c r="J164" s="11"/>
      <c r="K164" s="12" t="s">
        <v>142</v>
      </c>
      <c r="L164" s="11">
        <f t="shared" si="19"/>
        <v>60.161749999999998</v>
      </c>
      <c r="M164" s="11" t="s">
        <v>13</v>
      </c>
      <c r="N164" s="11"/>
      <c r="O164" s="11">
        <f t="shared" si="17"/>
        <v>0</v>
      </c>
      <c r="P164" s="13" t="s">
        <v>197</v>
      </c>
    </row>
    <row r="165" spans="1:16" x14ac:dyDescent="0.25">
      <c r="A165" s="2">
        <v>1</v>
      </c>
      <c r="B165" s="3" t="s">
        <v>211</v>
      </c>
      <c r="C165" s="3">
        <v>2233</v>
      </c>
      <c r="D165" s="3">
        <v>1083.779</v>
      </c>
      <c r="E165" s="3">
        <v>2420079</v>
      </c>
      <c r="F165" s="3">
        <v>1059</v>
      </c>
      <c r="G165" s="3">
        <v>2420079</v>
      </c>
      <c r="H165" s="3">
        <v>278.10500000000002</v>
      </c>
      <c r="I165" s="3" t="s">
        <v>26</v>
      </c>
      <c r="J165" s="3" t="s">
        <v>34</v>
      </c>
      <c r="K165" s="4" t="s">
        <v>142</v>
      </c>
      <c r="L165" s="3">
        <f>H165/4</f>
        <v>69.526250000000005</v>
      </c>
      <c r="M165" s="3" t="s">
        <v>14</v>
      </c>
      <c r="N165" s="3">
        <f>G165-(((G$175/C$175*C165)+(G$176/C$176*C165)+(G$177/C$177*C165))/3)</f>
        <v>99269.471759944689</v>
      </c>
      <c r="O165" s="3">
        <f t="shared" si="17"/>
        <v>1427.798446772905</v>
      </c>
      <c r="P165" s="5" t="s">
        <v>197</v>
      </c>
    </row>
    <row r="166" spans="1:16" x14ac:dyDescent="0.25">
      <c r="A166" s="6">
        <v>2</v>
      </c>
      <c r="B166" s="7" t="s">
        <v>212</v>
      </c>
      <c r="C166" s="7">
        <v>2099</v>
      </c>
      <c r="D166" s="7">
        <v>1087.865</v>
      </c>
      <c r="E166" s="7">
        <v>2283428</v>
      </c>
      <c r="F166" s="7">
        <v>1064</v>
      </c>
      <c r="G166" s="7">
        <v>2283428</v>
      </c>
      <c r="H166" s="7">
        <v>261.80900000000003</v>
      </c>
      <c r="I166" s="7" t="s">
        <v>27</v>
      </c>
      <c r="J166" s="7" t="s">
        <v>34</v>
      </c>
      <c r="K166" s="8" t="s">
        <v>142</v>
      </c>
      <c r="L166" s="7">
        <f>H166/4</f>
        <v>65.452250000000006</v>
      </c>
      <c r="M166" s="7" t="s">
        <v>14</v>
      </c>
      <c r="N166" s="7">
        <f>G166-(((G$175/C$175*C166)+(G$176/C$176*C166)+(G$177/C$177*C166))/3)</f>
        <v>101887.82992571592</v>
      </c>
      <c r="O166" s="7">
        <f t="shared" si="17"/>
        <v>1556.6742155650252</v>
      </c>
      <c r="P166" s="9" t="s">
        <v>197</v>
      </c>
    </row>
    <row r="167" spans="1:16" x14ac:dyDescent="0.25">
      <c r="A167" s="6">
        <v>3</v>
      </c>
      <c r="B167" s="7" t="s">
        <v>213</v>
      </c>
      <c r="C167" s="7">
        <v>2875</v>
      </c>
      <c r="D167" s="7">
        <v>1183.126</v>
      </c>
      <c r="E167" s="7">
        <v>3401487</v>
      </c>
      <c r="F167" s="7">
        <v>1106</v>
      </c>
      <c r="G167" s="7">
        <v>3401487</v>
      </c>
      <c r="H167" s="7">
        <v>358.48099999999999</v>
      </c>
      <c r="I167" s="7" t="s">
        <v>28</v>
      </c>
      <c r="J167" s="7" t="s">
        <v>34</v>
      </c>
      <c r="K167" s="8" t="s">
        <v>142</v>
      </c>
      <c r="L167" s="7">
        <f t="shared" ref="L167:L203" si="22">H167/4</f>
        <v>89.620249999999999</v>
      </c>
      <c r="M167" s="7" t="s">
        <v>14</v>
      </c>
      <c r="N167" s="7">
        <f t="shared" ref="N167:N174" si="23">G167-(((G$175/C$175*C167)+(G$176/C$176*C167)+(G$177/C$177*C167))/3)</f>
        <v>413431.74084632425</v>
      </c>
      <c r="O167" s="7">
        <f t="shared" si="17"/>
        <v>4613.1509435236376</v>
      </c>
      <c r="P167" s="9" t="s">
        <v>197</v>
      </c>
    </row>
    <row r="168" spans="1:16" x14ac:dyDescent="0.25">
      <c r="A168" s="6">
        <v>4</v>
      </c>
      <c r="B168" s="7" t="s">
        <v>214</v>
      </c>
      <c r="C168" s="7">
        <v>2988</v>
      </c>
      <c r="D168" s="7">
        <v>1189.5219999999999</v>
      </c>
      <c r="E168" s="7">
        <v>3554292</v>
      </c>
      <c r="F168" s="7">
        <v>1103</v>
      </c>
      <c r="G168" s="7">
        <v>3554292</v>
      </c>
      <c r="H168" s="7">
        <v>372.53199999999998</v>
      </c>
      <c r="I168" s="7" t="s">
        <v>29</v>
      </c>
      <c r="J168" s="7" t="s">
        <v>34</v>
      </c>
      <c r="K168" s="8" t="s">
        <v>142</v>
      </c>
      <c r="L168" s="7">
        <f t="shared" si="22"/>
        <v>93.132999999999996</v>
      </c>
      <c r="M168" s="7" t="s">
        <v>14</v>
      </c>
      <c r="N168" s="7">
        <f t="shared" si="23"/>
        <v>448793.17761697946</v>
      </c>
      <c r="O168" s="7">
        <f t="shared" si="17"/>
        <v>4818.8416309683944</v>
      </c>
      <c r="P168" s="9" t="s">
        <v>197</v>
      </c>
    </row>
    <row r="169" spans="1:16" x14ac:dyDescent="0.25">
      <c r="A169" s="6">
        <v>5</v>
      </c>
      <c r="B169" s="7" t="s">
        <v>215</v>
      </c>
      <c r="C169" s="7">
        <v>2430</v>
      </c>
      <c r="D169" s="7">
        <v>1141.7670000000001</v>
      </c>
      <c r="E169" s="7">
        <v>2774494</v>
      </c>
      <c r="F169" s="7">
        <v>1083</v>
      </c>
      <c r="G169" s="7">
        <v>2774494</v>
      </c>
      <c r="H169" s="7">
        <v>303.113</v>
      </c>
      <c r="I169" s="7" t="s">
        <v>35</v>
      </c>
      <c r="J169" s="7" t="s">
        <v>34</v>
      </c>
      <c r="K169" s="8" t="s">
        <v>142</v>
      </c>
      <c r="L169" s="7">
        <f t="shared" si="22"/>
        <v>75.77825</v>
      </c>
      <c r="M169" s="7" t="s">
        <v>14</v>
      </c>
      <c r="N169" s="7">
        <f t="shared" si="23"/>
        <v>248937.72878489317</v>
      </c>
      <c r="O169" s="7">
        <f t="shared" si="17"/>
        <v>3285.0815212134507</v>
      </c>
      <c r="P169" s="9" t="s">
        <v>197</v>
      </c>
    </row>
    <row r="170" spans="1:16" x14ac:dyDescent="0.25">
      <c r="A170" s="6">
        <v>6</v>
      </c>
      <c r="B170" s="7" t="s">
        <v>216</v>
      </c>
      <c r="C170" s="7">
        <v>2142</v>
      </c>
      <c r="D170" s="7">
        <v>1070.278</v>
      </c>
      <c r="E170" s="7">
        <v>2292535</v>
      </c>
      <c r="F170" s="7">
        <v>1060</v>
      </c>
      <c r="G170" s="7">
        <v>2292535</v>
      </c>
      <c r="H170" s="7">
        <v>266.32299999999998</v>
      </c>
      <c r="I170" s="7" t="s">
        <v>30</v>
      </c>
      <c r="J170" s="7" t="s">
        <v>34</v>
      </c>
      <c r="K170" s="8" t="s">
        <v>142</v>
      </c>
      <c r="L170" s="7">
        <f t="shared" si="22"/>
        <v>66.580749999999995</v>
      </c>
      <c r="M170" s="7" t="s">
        <v>14</v>
      </c>
      <c r="N170" s="7">
        <f t="shared" si="23"/>
        <v>66303.916484461166</v>
      </c>
      <c r="O170" s="7">
        <f t="shared" si="17"/>
        <v>995.84213882332608</v>
      </c>
      <c r="P170" s="9" t="s">
        <v>197</v>
      </c>
    </row>
    <row r="171" spans="1:16" x14ac:dyDescent="0.25">
      <c r="A171" s="6">
        <v>7</v>
      </c>
      <c r="B171" s="7" t="s">
        <v>217</v>
      </c>
      <c r="C171" s="7">
        <v>2660</v>
      </c>
      <c r="D171" s="7">
        <v>1162.7829999999999</v>
      </c>
      <c r="E171" s="7">
        <v>3093004</v>
      </c>
      <c r="F171" s="7">
        <v>1089</v>
      </c>
      <c r="G171" s="7">
        <v>3093004</v>
      </c>
      <c r="H171" s="7">
        <v>332.00400000000002</v>
      </c>
      <c r="I171" s="7" t="s">
        <v>31</v>
      </c>
      <c r="J171" s="7" t="s">
        <v>34</v>
      </c>
      <c r="K171" s="8" t="s">
        <v>142</v>
      </c>
      <c r="L171" s="7">
        <f t="shared" si="22"/>
        <v>83.001000000000005</v>
      </c>
      <c r="M171" s="7" t="s">
        <v>14</v>
      </c>
      <c r="N171" s="7">
        <f t="shared" si="23"/>
        <v>328403.30805259896</v>
      </c>
      <c r="O171" s="7">
        <f t="shared" si="17"/>
        <v>3956.6186919747829</v>
      </c>
      <c r="P171" s="9" t="s">
        <v>197</v>
      </c>
    </row>
    <row r="172" spans="1:16" x14ac:dyDescent="0.25">
      <c r="A172" s="6">
        <v>8</v>
      </c>
      <c r="B172" s="7" t="s">
        <v>218</v>
      </c>
      <c r="C172" s="7">
        <v>2933</v>
      </c>
      <c r="D172" s="7">
        <v>1243.451</v>
      </c>
      <c r="E172" s="7">
        <v>3647041</v>
      </c>
      <c r="F172" s="7">
        <v>1118</v>
      </c>
      <c r="G172" s="7">
        <v>3647041</v>
      </c>
      <c r="H172" s="7">
        <v>366.48</v>
      </c>
      <c r="I172" s="7" t="s">
        <v>32</v>
      </c>
      <c r="J172" s="7" t="s">
        <v>34</v>
      </c>
      <c r="K172" s="8" t="s">
        <v>142</v>
      </c>
      <c r="L172" s="7">
        <f t="shared" si="22"/>
        <v>91.62</v>
      </c>
      <c r="M172" s="7" t="s">
        <v>14</v>
      </c>
      <c r="N172" s="7">
        <f t="shared" si="23"/>
        <v>598704.97387905</v>
      </c>
      <c r="O172" s="7">
        <f t="shared" si="17"/>
        <v>6534.6537205746563</v>
      </c>
      <c r="P172" s="9" t="s">
        <v>197</v>
      </c>
    </row>
    <row r="173" spans="1:16" x14ac:dyDescent="0.25">
      <c r="A173" s="6">
        <v>9</v>
      </c>
      <c r="B173" s="7" t="s">
        <v>219</v>
      </c>
      <c r="C173" s="7">
        <v>2757</v>
      </c>
      <c r="D173" s="7">
        <v>1118.8869999999999</v>
      </c>
      <c r="E173" s="7">
        <v>3084772</v>
      </c>
      <c r="F173" s="7">
        <v>1074</v>
      </c>
      <c r="G173" s="7">
        <v>3084772</v>
      </c>
      <c r="H173" s="7">
        <v>343.86</v>
      </c>
      <c r="I173" s="7" t="s">
        <v>38</v>
      </c>
      <c r="J173" s="7" t="s">
        <v>34</v>
      </c>
      <c r="K173" s="8" t="s">
        <v>142</v>
      </c>
      <c r="L173" s="7">
        <f>H173/4</f>
        <v>85.965000000000003</v>
      </c>
      <c r="M173" s="7" t="s">
        <v>14</v>
      </c>
      <c r="N173" s="7">
        <f t="shared" si="23"/>
        <v>219356.9219176746</v>
      </c>
      <c r="O173" s="7">
        <f t="shared" si="17"/>
        <v>2551.7003654705354</v>
      </c>
      <c r="P173" s="9" t="s">
        <v>197</v>
      </c>
    </row>
    <row r="174" spans="1:16" x14ac:dyDescent="0.25">
      <c r="A174" s="6">
        <v>10</v>
      </c>
      <c r="B174" s="7" t="s">
        <v>220</v>
      </c>
      <c r="C174" s="7">
        <v>2009</v>
      </c>
      <c r="D174" s="7">
        <v>1057.838</v>
      </c>
      <c r="E174" s="7">
        <v>2125196</v>
      </c>
      <c r="F174" s="7">
        <v>1048</v>
      </c>
      <c r="G174" s="7">
        <v>2125196</v>
      </c>
      <c r="H174" s="7">
        <v>250.375</v>
      </c>
      <c r="I174" s="7" t="s">
        <v>33</v>
      </c>
      <c r="J174" s="7" t="s">
        <v>34</v>
      </c>
      <c r="K174" s="8" t="s">
        <v>142</v>
      </c>
      <c r="L174" s="7">
        <f>H174/4</f>
        <v>62.59375</v>
      </c>
      <c r="M174" s="7" t="s">
        <v>14</v>
      </c>
      <c r="N174" s="7">
        <f t="shared" si="23"/>
        <v>37194.951081831241</v>
      </c>
      <c r="O174" s="7">
        <f t="shared" si="17"/>
        <v>594.22787549605573</v>
      </c>
      <c r="P174" s="9" t="s">
        <v>197</v>
      </c>
    </row>
    <row r="175" spans="1:16" x14ac:dyDescent="0.25">
      <c r="A175" s="6">
        <v>11</v>
      </c>
      <c r="B175" s="7" t="s">
        <v>221</v>
      </c>
      <c r="C175" s="7">
        <v>1691</v>
      </c>
      <c r="D175" s="7">
        <v>1040.588</v>
      </c>
      <c r="E175" s="7">
        <v>1759635</v>
      </c>
      <c r="F175" s="7">
        <v>1041</v>
      </c>
      <c r="G175" s="7">
        <v>1759635</v>
      </c>
      <c r="H175" s="7">
        <v>210.63800000000001</v>
      </c>
      <c r="I175" s="7" t="s">
        <v>23</v>
      </c>
      <c r="J175" s="7"/>
      <c r="K175" s="8" t="s">
        <v>142</v>
      </c>
      <c r="L175" s="7">
        <f t="shared" si="22"/>
        <v>52.659500000000001</v>
      </c>
      <c r="M175" s="7" t="s">
        <v>14</v>
      </c>
      <c r="N175" s="7"/>
      <c r="O175" s="7">
        <f t="shared" si="17"/>
        <v>0</v>
      </c>
      <c r="P175" s="9" t="s">
        <v>197</v>
      </c>
    </row>
    <row r="176" spans="1:16" x14ac:dyDescent="0.25">
      <c r="A176" s="6">
        <v>12</v>
      </c>
      <c r="B176" s="7" t="s">
        <v>222</v>
      </c>
      <c r="C176" s="7">
        <v>1854</v>
      </c>
      <c r="D176" s="7">
        <v>1038.454</v>
      </c>
      <c r="E176" s="7">
        <v>1925293</v>
      </c>
      <c r="F176" s="7">
        <v>1038</v>
      </c>
      <c r="G176" s="7">
        <v>1925293</v>
      </c>
      <c r="H176" s="7">
        <v>230.89</v>
      </c>
      <c r="I176" s="7" t="s">
        <v>23</v>
      </c>
      <c r="J176" s="7"/>
      <c r="K176" s="8" t="s">
        <v>142</v>
      </c>
      <c r="L176" s="7">
        <f t="shared" si="22"/>
        <v>57.722499999999997</v>
      </c>
      <c r="M176" s="7" t="s">
        <v>14</v>
      </c>
      <c r="N176" s="7"/>
      <c r="O176" s="7">
        <f t="shared" si="17"/>
        <v>0</v>
      </c>
      <c r="P176" s="9" t="s">
        <v>197</v>
      </c>
    </row>
    <row r="177" spans="1:16" x14ac:dyDescent="0.25">
      <c r="A177" s="10">
        <v>13</v>
      </c>
      <c r="B177" s="11" t="s">
        <v>223</v>
      </c>
      <c r="C177" s="11">
        <v>1935</v>
      </c>
      <c r="D177" s="11">
        <v>1038.9290000000001</v>
      </c>
      <c r="E177" s="11">
        <v>2010327</v>
      </c>
      <c r="F177" s="11">
        <v>1039</v>
      </c>
      <c r="G177" s="11">
        <v>2010327</v>
      </c>
      <c r="H177" s="11">
        <v>241.017</v>
      </c>
      <c r="I177" s="7" t="s">
        <v>23</v>
      </c>
      <c r="J177" s="11"/>
      <c r="K177" s="12" t="s">
        <v>142</v>
      </c>
      <c r="L177" s="11">
        <f t="shared" si="22"/>
        <v>60.254249999999999</v>
      </c>
      <c r="M177" s="11" t="s">
        <v>14</v>
      </c>
      <c r="N177" s="11"/>
      <c r="O177" s="11">
        <f t="shared" si="17"/>
        <v>0</v>
      </c>
      <c r="P177" s="13" t="s">
        <v>197</v>
      </c>
    </row>
    <row r="178" spans="1:16" x14ac:dyDescent="0.25">
      <c r="A178" s="2">
        <v>1</v>
      </c>
      <c r="B178" s="3" t="s">
        <v>224</v>
      </c>
      <c r="C178" s="3">
        <v>2297</v>
      </c>
      <c r="D178" s="3">
        <v>1086.6500000000001</v>
      </c>
      <c r="E178" s="3">
        <v>2496034</v>
      </c>
      <c r="F178" s="3">
        <v>1059</v>
      </c>
      <c r="G178" s="3">
        <v>2496034</v>
      </c>
      <c r="H178" s="3">
        <v>285.99</v>
      </c>
      <c r="I178" s="3" t="s">
        <v>303</v>
      </c>
      <c r="J178" s="3" t="s">
        <v>34</v>
      </c>
      <c r="K178" s="4" t="s">
        <v>143</v>
      </c>
      <c r="L178" s="3">
        <f t="shared" si="22"/>
        <v>71.497500000000002</v>
      </c>
      <c r="M178" s="3" t="s">
        <v>41</v>
      </c>
      <c r="N178" s="3">
        <f>G178-(((G$188/C$188*C178)+(G$189/C$189*C178)+(G$190/C$190*C178))/3)</f>
        <v>109943.76357086794</v>
      </c>
      <c r="O178" s="3">
        <f t="shared" si="17"/>
        <v>1537.7287817177935</v>
      </c>
      <c r="P178" s="5" t="s">
        <v>197</v>
      </c>
    </row>
    <row r="179" spans="1:16" x14ac:dyDescent="0.25">
      <c r="A179" s="6">
        <v>2</v>
      </c>
      <c r="B179" s="7" t="s">
        <v>225</v>
      </c>
      <c r="C179" s="7">
        <v>2725</v>
      </c>
      <c r="D179" s="7">
        <v>1084.903</v>
      </c>
      <c r="E179" s="7">
        <v>2956361</v>
      </c>
      <c r="F179" s="7">
        <v>1061</v>
      </c>
      <c r="G179" s="7">
        <v>2956361</v>
      </c>
      <c r="H179" s="7">
        <v>342.37299999999999</v>
      </c>
      <c r="I179" s="3" t="s">
        <v>304</v>
      </c>
      <c r="J179" s="7" t="s">
        <v>34</v>
      </c>
      <c r="K179" s="8" t="s">
        <v>143</v>
      </c>
      <c r="L179" s="7">
        <f t="shared" si="22"/>
        <v>85.593249999999998</v>
      </c>
      <c r="M179" s="7" t="s">
        <v>41</v>
      </c>
      <c r="N179" s="7">
        <f t="shared" ref="N179:N185" si="24">G179-(((G$188/C$188*C179)+(G$189/C$189*C179)+(G$190/C$190*C179))/3)</f>
        <v>125670.58020488312</v>
      </c>
      <c r="O179" s="7">
        <f t="shared" si="17"/>
        <v>1468.2300322149601</v>
      </c>
      <c r="P179" s="9" t="s">
        <v>197</v>
      </c>
    </row>
    <row r="180" spans="1:16" x14ac:dyDescent="0.25">
      <c r="A180" s="6">
        <v>3</v>
      </c>
      <c r="B180" s="7" t="s">
        <v>226</v>
      </c>
      <c r="C180" s="7">
        <v>2565</v>
      </c>
      <c r="D180" s="7">
        <v>1075.2149999999999</v>
      </c>
      <c r="E180" s="7">
        <v>2757927</v>
      </c>
      <c r="F180" s="7">
        <v>1059</v>
      </c>
      <c r="G180" s="7">
        <v>2757927</v>
      </c>
      <c r="H180" s="7">
        <v>319.87799999999999</v>
      </c>
      <c r="I180" s="3" t="s">
        <v>305</v>
      </c>
      <c r="J180" s="7" t="s">
        <v>34</v>
      </c>
      <c r="K180" s="8" t="s">
        <v>143</v>
      </c>
      <c r="L180" s="7">
        <f t="shared" si="22"/>
        <v>79.969499999999996</v>
      </c>
      <c r="M180" s="7" t="s">
        <v>41</v>
      </c>
      <c r="N180" s="7">
        <f t="shared" si="24"/>
        <v>93442.256229550112</v>
      </c>
      <c r="O180" s="7">
        <f t="shared" si="17"/>
        <v>1168.4736834611961</v>
      </c>
      <c r="P180" s="9" t="s">
        <v>197</v>
      </c>
    </row>
    <row r="181" spans="1:16" x14ac:dyDescent="0.25">
      <c r="A181" s="6">
        <v>4</v>
      </c>
      <c r="B181" s="7" t="s">
        <v>227</v>
      </c>
      <c r="C181" s="7">
        <v>2750</v>
      </c>
      <c r="D181" s="7">
        <v>1103.1690000000001</v>
      </c>
      <c r="E181" s="7">
        <v>3033715</v>
      </c>
      <c r="F181" s="7">
        <v>1074</v>
      </c>
      <c r="G181" s="7">
        <v>3033715</v>
      </c>
      <c r="H181" s="7">
        <v>344.11200000000002</v>
      </c>
      <c r="I181" s="3" t="s">
        <v>306</v>
      </c>
      <c r="J181" s="7" t="s">
        <v>34</v>
      </c>
      <c r="K181" s="8" t="s">
        <v>143</v>
      </c>
      <c r="L181" s="7">
        <f t="shared" si="22"/>
        <v>86.028000000000006</v>
      </c>
      <c r="M181" s="7" t="s">
        <v>41</v>
      </c>
      <c r="N181" s="7">
        <f t="shared" si="24"/>
        <v>177054.94332602853</v>
      </c>
      <c r="O181" s="7">
        <f t="shared" si="17"/>
        <v>2058.1083289862431</v>
      </c>
      <c r="P181" s="9" t="s">
        <v>197</v>
      </c>
    </row>
    <row r="182" spans="1:16" x14ac:dyDescent="0.25">
      <c r="A182" s="6">
        <v>5</v>
      </c>
      <c r="B182" s="7" t="s">
        <v>228</v>
      </c>
      <c r="C182" s="7">
        <v>3128</v>
      </c>
      <c r="D182" s="7">
        <v>1098.646</v>
      </c>
      <c r="E182" s="7">
        <v>3436564</v>
      </c>
      <c r="F182" s="7">
        <v>1067</v>
      </c>
      <c r="G182" s="7">
        <v>3436564</v>
      </c>
      <c r="H182" s="7">
        <v>391.245</v>
      </c>
      <c r="I182" s="3" t="s">
        <v>307</v>
      </c>
      <c r="J182" s="7" t="s">
        <v>34</v>
      </c>
      <c r="K182" s="8" t="s">
        <v>143</v>
      </c>
      <c r="L182" s="7">
        <f t="shared" si="22"/>
        <v>97.811250000000001</v>
      </c>
      <c r="M182" s="7" t="s">
        <v>41</v>
      </c>
      <c r="N182" s="7">
        <f t="shared" si="24"/>
        <v>187243.0337177515</v>
      </c>
      <c r="O182" s="7">
        <f t="shared" si="17"/>
        <v>1914.3302403123516</v>
      </c>
      <c r="P182" s="9" t="s">
        <v>197</v>
      </c>
    </row>
    <row r="183" spans="1:16" x14ac:dyDescent="0.25">
      <c r="A183" s="6">
        <v>6</v>
      </c>
      <c r="B183" s="7" t="s">
        <v>229</v>
      </c>
      <c r="C183" s="7">
        <v>2425</v>
      </c>
      <c r="D183" s="7">
        <v>1074.9359999999999</v>
      </c>
      <c r="E183" s="7">
        <v>2606720</v>
      </c>
      <c r="F183" s="7">
        <v>1056</v>
      </c>
      <c r="G183" s="7">
        <v>2606720</v>
      </c>
      <c r="H183" s="7">
        <v>303.10700000000003</v>
      </c>
      <c r="I183" s="3" t="s">
        <v>308</v>
      </c>
      <c r="J183" s="7" t="s">
        <v>34</v>
      </c>
      <c r="K183" s="8" t="s">
        <v>143</v>
      </c>
      <c r="L183" s="7">
        <f t="shared" si="22"/>
        <v>75.776750000000007</v>
      </c>
      <c r="M183" s="7" t="s">
        <v>41</v>
      </c>
      <c r="N183" s="7">
        <f t="shared" si="24"/>
        <v>87665.222751134541</v>
      </c>
      <c r="O183" s="7">
        <f t="shared" si="17"/>
        <v>1156.8881319287846</v>
      </c>
      <c r="P183" s="9" t="s">
        <v>197</v>
      </c>
    </row>
    <row r="184" spans="1:16" x14ac:dyDescent="0.25">
      <c r="A184" s="6">
        <v>7</v>
      </c>
      <c r="B184" s="7" t="s">
        <v>230</v>
      </c>
      <c r="C184" s="7">
        <v>2928</v>
      </c>
      <c r="D184" s="7">
        <v>1100.559</v>
      </c>
      <c r="E184" s="7">
        <v>3222438</v>
      </c>
      <c r="F184" s="7">
        <v>1067</v>
      </c>
      <c r="G184" s="7">
        <v>3222438</v>
      </c>
      <c r="H184" s="7">
        <v>365.29</v>
      </c>
      <c r="I184" s="3" t="s">
        <v>309</v>
      </c>
      <c r="J184" s="7" t="s">
        <v>34</v>
      </c>
      <c r="K184" s="8" t="s">
        <v>143</v>
      </c>
      <c r="L184" s="7">
        <f t="shared" si="22"/>
        <v>91.322500000000005</v>
      </c>
      <c r="M184" s="7" t="s">
        <v>41</v>
      </c>
      <c r="N184" s="7">
        <f t="shared" si="24"/>
        <v>180874.12874858594</v>
      </c>
      <c r="O184" s="7">
        <f t="shared" si="17"/>
        <v>1980.6085986321655</v>
      </c>
      <c r="P184" s="9" t="s">
        <v>197</v>
      </c>
    </row>
    <row r="185" spans="1:16" x14ac:dyDescent="0.25">
      <c r="A185" s="6">
        <v>8</v>
      </c>
      <c r="B185" s="7" t="s">
        <v>231</v>
      </c>
      <c r="C185" s="7">
        <v>3102</v>
      </c>
      <c r="D185" s="7">
        <v>1096.299</v>
      </c>
      <c r="E185" s="7">
        <v>3400721</v>
      </c>
      <c r="F185" s="7">
        <v>1067</v>
      </c>
      <c r="G185" s="7">
        <v>3400721</v>
      </c>
      <c r="H185" s="7">
        <v>386.19099999999997</v>
      </c>
      <c r="I185" s="3" t="s">
        <v>310</v>
      </c>
      <c r="J185" s="7" t="s">
        <v>34</v>
      </c>
      <c r="K185" s="8" t="s">
        <v>143</v>
      </c>
      <c r="L185" s="7">
        <f t="shared" si="22"/>
        <v>96.547749999999994</v>
      </c>
      <c r="M185" s="7" t="s">
        <v>41</v>
      </c>
      <c r="N185" s="7">
        <f t="shared" si="24"/>
        <v>178408.45607176004</v>
      </c>
      <c r="O185" s="7">
        <f t="shared" si="17"/>
        <v>1847.8779264328796</v>
      </c>
      <c r="P185" s="9" t="s">
        <v>197</v>
      </c>
    </row>
    <row r="186" spans="1:16" x14ac:dyDescent="0.25">
      <c r="A186" s="6">
        <v>9</v>
      </c>
      <c r="B186" s="7" t="s">
        <v>232</v>
      </c>
      <c r="C186" s="7">
        <v>3202</v>
      </c>
      <c r="D186" s="7">
        <v>1097.0329999999999</v>
      </c>
      <c r="E186" s="7">
        <v>3512699</v>
      </c>
      <c r="F186" s="7">
        <v>1060</v>
      </c>
      <c r="G186" s="7">
        <v>3512699</v>
      </c>
      <c r="H186" s="7">
        <v>398.25</v>
      </c>
      <c r="I186" s="3" t="s">
        <v>311</v>
      </c>
      <c r="J186" s="7" t="s">
        <v>34</v>
      </c>
      <c r="K186" s="8" t="s">
        <v>143</v>
      </c>
      <c r="L186" s="7">
        <f>H186/4</f>
        <v>99.5625</v>
      </c>
      <c r="M186" s="7" t="s">
        <v>41</v>
      </c>
      <c r="N186" s="7">
        <f>G186-(((G$188/C$188*C186)+(G$189/C$189*C186)+(G$190/C$190*C186))/3)</f>
        <v>186507.90855634259</v>
      </c>
      <c r="O186" s="7">
        <f t="shared" si="17"/>
        <v>1873.2746622105972</v>
      </c>
      <c r="P186" s="9" t="s">
        <v>197</v>
      </c>
    </row>
    <row r="187" spans="1:16" x14ac:dyDescent="0.25">
      <c r="A187" s="6">
        <v>10</v>
      </c>
      <c r="B187" s="7" t="s">
        <v>233</v>
      </c>
      <c r="C187" s="7">
        <v>2747</v>
      </c>
      <c r="D187" s="7">
        <v>1077.3810000000001</v>
      </c>
      <c r="E187" s="7">
        <v>2959566</v>
      </c>
      <c r="F187" s="7">
        <v>1052</v>
      </c>
      <c r="G187" s="7">
        <v>2959566</v>
      </c>
      <c r="H187" s="7">
        <v>341.51900000000001</v>
      </c>
      <c r="I187" s="3" t="s">
        <v>312</v>
      </c>
      <c r="J187" s="7" t="s">
        <v>34</v>
      </c>
      <c r="K187" s="8" t="s">
        <v>143</v>
      </c>
      <c r="L187" s="7">
        <f>H187/4</f>
        <v>85.379750000000001</v>
      </c>
      <c r="M187" s="7" t="s">
        <v>41</v>
      </c>
      <c r="N187" s="7">
        <f>G187-(((G$188/C$188*C187)+(G$189/C$189*C187)+(G$190/C$190*C187))/3)</f>
        <v>106022.29975149082</v>
      </c>
      <c r="O187" s="7">
        <f t="shared" si="17"/>
        <v>1241.7733684098491</v>
      </c>
      <c r="P187" s="9" t="s">
        <v>197</v>
      </c>
    </row>
    <row r="188" spans="1:16" x14ac:dyDescent="0.25">
      <c r="A188" s="6">
        <v>11</v>
      </c>
      <c r="B188" s="7" t="s">
        <v>234</v>
      </c>
      <c r="C188" s="7">
        <v>1755</v>
      </c>
      <c r="D188" s="7">
        <v>1037.635</v>
      </c>
      <c r="E188" s="7">
        <v>1821050</v>
      </c>
      <c r="F188" s="7">
        <v>1038</v>
      </c>
      <c r="G188" s="7">
        <v>1821050</v>
      </c>
      <c r="H188" s="7">
        <v>218.279</v>
      </c>
      <c r="I188" s="7" t="s">
        <v>23</v>
      </c>
      <c r="J188" s="7"/>
      <c r="K188" s="8" t="s">
        <v>143</v>
      </c>
      <c r="L188" s="7">
        <f t="shared" si="22"/>
        <v>54.569749999999999</v>
      </c>
      <c r="M188" s="7" t="s">
        <v>41</v>
      </c>
      <c r="N188" s="7"/>
      <c r="O188" s="7">
        <f t="shared" si="17"/>
        <v>0</v>
      </c>
      <c r="P188" s="9" t="s">
        <v>197</v>
      </c>
    </row>
    <row r="189" spans="1:16" x14ac:dyDescent="0.25">
      <c r="A189" s="6">
        <v>12</v>
      </c>
      <c r="B189" s="7" t="s">
        <v>235</v>
      </c>
      <c r="C189" s="7">
        <v>1768</v>
      </c>
      <c r="D189" s="7">
        <v>1039.057</v>
      </c>
      <c r="E189" s="7">
        <v>1837052</v>
      </c>
      <c r="F189" s="7">
        <v>1038</v>
      </c>
      <c r="G189" s="7">
        <v>1837052</v>
      </c>
      <c r="H189" s="7">
        <v>220.14699999999999</v>
      </c>
      <c r="I189" s="7" t="s">
        <v>23</v>
      </c>
      <c r="J189" s="7"/>
      <c r="K189" s="8" t="s">
        <v>143</v>
      </c>
      <c r="L189" s="7">
        <f t="shared" si="22"/>
        <v>55.036749999999998</v>
      </c>
      <c r="M189" s="7" t="s">
        <v>41</v>
      </c>
      <c r="N189" s="7"/>
      <c r="O189" s="7">
        <f t="shared" si="17"/>
        <v>0</v>
      </c>
      <c r="P189" s="9" t="s">
        <v>197</v>
      </c>
    </row>
    <row r="190" spans="1:16" x14ac:dyDescent="0.25">
      <c r="A190" s="10">
        <v>13</v>
      </c>
      <c r="B190" s="11" t="s">
        <v>236</v>
      </c>
      <c r="C190" s="11">
        <v>1878</v>
      </c>
      <c r="D190" s="11">
        <v>1039.665</v>
      </c>
      <c r="E190" s="11">
        <v>1952490</v>
      </c>
      <c r="F190" s="11">
        <v>1039</v>
      </c>
      <c r="G190" s="11">
        <v>1952490</v>
      </c>
      <c r="H190" s="11">
        <v>234.20099999999999</v>
      </c>
      <c r="I190" s="11" t="s">
        <v>23</v>
      </c>
      <c r="J190" s="11"/>
      <c r="K190" s="12" t="s">
        <v>143</v>
      </c>
      <c r="L190" s="11">
        <f t="shared" si="22"/>
        <v>58.550249999999998</v>
      </c>
      <c r="M190" s="11" t="s">
        <v>41</v>
      </c>
      <c r="N190" s="11"/>
      <c r="O190" s="11">
        <f t="shared" si="17"/>
        <v>0</v>
      </c>
      <c r="P190" s="13" t="s">
        <v>197</v>
      </c>
    </row>
    <row r="191" spans="1:16" x14ac:dyDescent="0.25">
      <c r="A191" s="2">
        <v>1</v>
      </c>
      <c r="B191" s="3" t="s">
        <v>237</v>
      </c>
      <c r="C191" s="3">
        <v>2652</v>
      </c>
      <c r="D191" s="3">
        <v>1101.3440000000001</v>
      </c>
      <c r="E191" s="3">
        <v>2920764</v>
      </c>
      <c r="F191" s="3">
        <v>1066</v>
      </c>
      <c r="G191" s="3">
        <v>2920764</v>
      </c>
      <c r="H191" s="3">
        <v>330.89299999999997</v>
      </c>
      <c r="I191" s="3" t="s">
        <v>313</v>
      </c>
      <c r="J191" s="3" t="s">
        <v>34</v>
      </c>
      <c r="K191" s="4" t="s">
        <v>143</v>
      </c>
      <c r="L191" s="3">
        <f t="shared" si="22"/>
        <v>82.723249999999993</v>
      </c>
      <c r="M191" s="3" t="s">
        <v>42</v>
      </c>
      <c r="N191" s="3">
        <f>G191-(((G$201/C$201*C191)+(G$202/C$202*C191)+(G$203/C$203*C191))/3)</f>
        <v>161763.15190279763</v>
      </c>
      <c r="O191" s="3">
        <f>N191/L191</f>
        <v>1955.4738468664812</v>
      </c>
      <c r="P191" s="5" t="s">
        <v>197</v>
      </c>
    </row>
    <row r="192" spans="1:16" x14ac:dyDescent="0.25">
      <c r="A192" s="6">
        <v>2</v>
      </c>
      <c r="B192" s="7" t="s">
        <v>238</v>
      </c>
      <c r="C192" s="7">
        <v>2362</v>
      </c>
      <c r="D192" s="7">
        <v>1105.2190000000001</v>
      </c>
      <c r="E192" s="7">
        <v>2610528</v>
      </c>
      <c r="F192" s="7">
        <v>1066</v>
      </c>
      <c r="G192" s="7">
        <v>2610528</v>
      </c>
      <c r="H192" s="7">
        <v>293.52300000000002</v>
      </c>
      <c r="I192" s="3" t="s">
        <v>314</v>
      </c>
      <c r="J192" s="7" t="s">
        <v>34</v>
      </c>
      <c r="K192" s="8" t="s">
        <v>143</v>
      </c>
      <c r="L192" s="7">
        <f t="shared" si="22"/>
        <v>73.380750000000006</v>
      </c>
      <c r="M192" s="7" t="s">
        <v>42</v>
      </c>
      <c r="N192" s="7">
        <f>G192-(((G$201/C$201*C192)+(G$202/C$202*C192)+(G$203/C$203*C192))/3)</f>
        <v>153227.84796169261</v>
      </c>
      <c r="O192" s="7">
        <f>N192/L192</f>
        <v>2088.1204942943837</v>
      </c>
      <c r="P192" s="9" t="s">
        <v>197</v>
      </c>
    </row>
    <row r="193" spans="1:16" x14ac:dyDescent="0.25">
      <c r="A193" s="6">
        <v>3</v>
      </c>
      <c r="B193" s="7" t="s">
        <v>239</v>
      </c>
      <c r="C193" s="7">
        <v>2804</v>
      </c>
      <c r="D193" s="7">
        <v>1087.779</v>
      </c>
      <c r="E193" s="7">
        <v>3050131</v>
      </c>
      <c r="F193" s="7">
        <v>1061</v>
      </c>
      <c r="G193" s="7">
        <v>3050131</v>
      </c>
      <c r="H193" s="7">
        <v>350.31</v>
      </c>
      <c r="I193" s="3" t="s">
        <v>315</v>
      </c>
      <c r="J193" s="7" t="s">
        <v>34</v>
      </c>
      <c r="K193" s="8" t="s">
        <v>143</v>
      </c>
      <c r="L193" s="7">
        <f t="shared" si="22"/>
        <v>87.577500000000001</v>
      </c>
      <c r="M193" s="7" t="s">
        <v>42</v>
      </c>
      <c r="N193" s="7">
        <f t="shared" ref="N193:N198" si="25">G193-(((G$201/C$201*C193)+(G$202/C$202*C193)+(G$203/C$203*C193))/3)</f>
        <v>132997.37327882508</v>
      </c>
      <c r="O193" s="7">
        <f t="shared" si="17"/>
        <v>1518.6249125497425</v>
      </c>
      <c r="P193" s="9" t="s">
        <v>197</v>
      </c>
    </row>
    <row r="194" spans="1:16" x14ac:dyDescent="0.25">
      <c r="A194" s="6">
        <v>4</v>
      </c>
      <c r="B194" s="7" t="s">
        <v>240</v>
      </c>
      <c r="C194" s="7">
        <v>2601</v>
      </c>
      <c r="D194" s="7">
        <v>1103.136</v>
      </c>
      <c r="E194" s="7">
        <v>2869256</v>
      </c>
      <c r="F194" s="7">
        <v>1067</v>
      </c>
      <c r="G194" s="7">
        <v>2869256</v>
      </c>
      <c r="H194" s="7">
        <v>325.00099999999998</v>
      </c>
      <c r="I194" s="3" t="s">
        <v>316</v>
      </c>
      <c r="J194" s="7" t="s">
        <v>34</v>
      </c>
      <c r="K194" s="8" t="s">
        <v>143</v>
      </c>
      <c r="L194" s="7">
        <f t="shared" si="22"/>
        <v>81.250249999999994</v>
      </c>
      <c r="M194" s="7" t="s">
        <v>42</v>
      </c>
      <c r="N194" s="7">
        <f t="shared" si="25"/>
        <v>163312.86052005179</v>
      </c>
      <c r="O194" s="7">
        <f t="shared" si="17"/>
        <v>2009.9982525598605</v>
      </c>
      <c r="P194" s="9" t="s">
        <v>197</v>
      </c>
    </row>
    <row r="195" spans="1:16" x14ac:dyDescent="0.25">
      <c r="A195" s="6">
        <v>5</v>
      </c>
      <c r="B195" s="7" t="s">
        <v>241</v>
      </c>
      <c r="C195" s="7">
        <v>2726</v>
      </c>
      <c r="D195" s="7">
        <v>1175.2860000000001</v>
      </c>
      <c r="E195" s="7">
        <v>3203830</v>
      </c>
      <c r="F195" s="7">
        <v>1079</v>
      </c>
      <c r="G195" s="7">
        <v>3203830</v>
      </c>
      <c r="H195" s="7">
        <v>340.90899999999999</v>
      </c>
      <c r="I195" s="3" t="s">
        <v>317</v>
      </c>
      <c r="J195" s="7" t="s">
        <v>34</v>
      </c>
      <c r="K195" s="8" t="s">
        <v>143</v>
      </c>
      <c r="L195" s="7">
        <f t="shared" si="22"/>
        <v>85.227249999999998</v>
      </c>
      <c r="M195" s="7" t="s">
        <v>42</v>
      </c>
      <c r="N195" s="7">
        <f t="shared" si="25"/>
        <v>367843.45704639005</v>
      </c>
      <c r="O195" s="7">
        <f t="shared" si="17"/>
        <v>4316.0310469525893</v>
      </c>
      <c r="P195" s="9" t="s">
        <v>197</v>
      </c>
    </row>
    <row r="196" spans="1:16" x14ac:dyDescent="0.25">
      <c r="A196" s="6">
        <v>6</v>
      </c>
      <c r="B196" s="7" t="s">
        <v>242</v>
      </c>
      <c r="C196" s="7">
        <v>2826</v>
      </c>
      <c r="D196" s="7">
        <v>1136.7829999999999</v>
      </c>
      <c r="E196" s="7">
        <v>3212550</v>
      </c>
      <c r="F196" s="7">
        <v>1079</v>
      </c>
      <c r="G196" s="7">
        <v>3212550</v>
      </c>
      <c r="H196" s="7">
        <v>354.04500000000002</v>
      </c>
      <c r="I196" s="3" t="s">
        <v>318</v>
      </c>
      <c r="J196" s="7" t="s">
        <v>34</v>
      </c>
      <c r="K196" s="8" t="s">
        <v>143</v>
      </c>
      <c r="L196" s="7">
        <f t="shared" si="22"/>
        <v>88.511250000000004</v>
      </c>
      <c r="M196" s="7" t="s">
        <v>42</v>
      </c>
      <c r="N196" s="7">
        <f t="shared" si="25"/>
        <v>272528.73426746065</v>
      </c>
      <c r="O196" s="7">
        <f t="shared" si="17"/>
        <v>3079.0293241532645</v>
      </c>
      <c r="P196" s="9" t="s">
        <v>197</v>
      </c>
    </row>
    <row r="197" spans="1:16" x14ac:dyDescent="0.25">
      <c r="A197" s="6">
        <v>7</v>
      </c>
      <c r="B197" s="7" t="s">
        <v>243</v>
      </c>
      <c r="C197" s="7">
        <v>2507</v>
      </c>
      <c r="D197" s="7">
        <v>1104.4280000000001</v>
      </c>
      <c r="E197" s="7">
        <v>2768801</v>
      </c>
      <c r="F197" s="7">
        <v>1068</v>
      </c>
      <c r="G197" s="7">
        <v>2768801</v>
      </c>
      <c r="H197" s="7">
        <v>312.83100000000002</v>
      </c>
      <c r="I197" s="3" t="s">
        <v>319</v>
      </c>
      <c r="J197" s="7" t="s">
        <v>34</v>
      </c>
      <c r="K197" s="8" t="s">
        <v>143</v>
      </c>
      <c r="L197" s="7">
        <f t="shared" si="22"/>
        <v>78.207750000000004</v>
      </c>
      <c r="M197" s="7" t="s">
        <v>42</v>
      </c>
      <c r="N197" s="7">
        <f t="shared" si="25"/>
        <v>160650.49993224489</v>
      </c>
      <c r="O197" s="7">
        <f t="shared" ref="O197:O255" si="26">N197/L197</f>
        <v>2054.1506427719105</v>
      </c>
      <c r="P197" s="9" t="s">
        <v>197</v>
      </c>
    </row>
    <row r="198" spans="1:16" x14ac:dyDescent="0.25">
      <c r="A198" s="6">
        <v>8</v>
      </c>
      <c r="B198" s="7" t="s">
        <v>244</v>
      </c>
      <c r="C198" s="7">
        <v>2421</v>
      </c>
      <c r="D198" s="7">
        <v>1064.587</v>
      </c>
      <c r="E198" s="7">
        <v>2577365</v>
      </c>
      <c r="F198" s="7">
        <v>1050</v>
      </c>
      <c r="G198" s="7">
        <v>2577365</v>
      </c>
      <c r="H198" s="7">
        <v>302.63200000000001</v>
      </c>
      <c r="I198" s="3" t="s">
        <v>320</v>
      </c>
      <c r="J198" s="7" t="s">
        <v>34</v>
      </c>
      <c r="K198" s="8" t="s">
        <v>143</v>
      </c>
      <c r="L198" s="7">
        <f t="shared" si="22"/>
        <v>75.658000000000001</v>
      </c>
      <c r="M198" s="7" t="s">
        <v>42</v>
      </c>
      <c r="N198" s="7">
        <f t="shared" si="25"/>
        <v>58684.361522123683</v>
      </c>
      <c r="O198" s="7">
        <f t="shared" si="26"/>
        <v>775.65309051420445</v>
      </c>
      <c r="P198" s="9" t="s">
        <v>197</v>
      </c>
    </row>
    <row r="199" spans="1:16" x14ac:dyDescent="0.25">
      <c r="A199" s="6">
        <v>9</v>
      </c>
      <c r="B199" s="7" t="s">
        <v>245</v>
      </c>
      <c r="C199" s="7">
        <v>3034</v>
      </c>
      <c r="D199" s="7">
        <v>1109.76</v>
      </c>
      <c r="E199" s="7">
        <v>3367012</v>
      </c>
      <c r="F199" s="7">
        <v>1062</v>
      </c>
      <c r="G199" s="7">
        <v>3367012</v>
      </c>
      <c r="H199" s="7">
        <v>378.45699999999999</v>
      </c>
      <c r="I199" s="3" t="s">
        <v>321</v>
      </c>
      <c r="J199" s="7" t="s">
        <v>34</v>
      </c>
      <c r="K199" s="8" t="s">
        <v>143</v>
      </c>
      <c r="L199" s="7">
        <f>H199/4</f>
        <v>94.614249999999998</v>
      </c>
      <c r="M199" s="7" t="s">
        <v>42</v>
      </c>
      <c r="N199" s="7">
        <f>G199-(((G$201/C$201*C199)+(G$202/C$202*C199)+(G$203/C$203*C199))/3)</f>
        <v>210598.51088728802</v>
      </c>
      <c r="O199" s="7">
        <f>N199/L199</f>
        <v>2225.8646122258328</v>
      </c>
      <c r="P199" s="9" t="s">
        <v>197</v>
      </c>
    </row>
    <row r="200" spans="1:16" x14ac:dyDescent="0.25">
      <c r="A200" s="6">
        <v>10</v>
      </c>
      <c r="B200" s="7" t="s">
        <v>246</v>
      </c>
      <c r="C200" s="7">
        <v>2840</v>
      </c>
      <c r="D200" s="7">
        <v>1110.7249999999999</v>
      </c>
      <c r="E200" s="7">
        <v>3154459</v>
      </c>
      <c r="F200" s="7">
        <v>1063</v>
      </c>
      <c r="G200" s="7">
        <v>3154459</v>
      </c>
      <c r="H200" s="7">
        <v>354.27300000000002</v>
      </c>
      <c r="I200" s="3" t="s">
        <v>322</v>
      </c>
      <c r="J200" s="7" t="s">
        <v>34</v>
      </c>
      <c r="K200" s="8" t="s">
        <v>143</v>
      </c>
      <c r="L200" s="7">
        <f>H200/4</f>
        <v>88.568250000000006</v>
      </c>
      <c r="M200" s="7" t="s">
        <v>42</v>
      </c>
      <c r="N200" s="7">
        <f>G200-(((G$201/C$201*C200)+(G$202/C$202*C200)+(G$203/C$203*C200))/3)</f>
        <v>199872.87307841098</v>
      </c>
      <c r="O200" s="7">
        <f>N200/L200</f>
        <v>2256.7101989529087</v>
      </c>
      <c r="P200" s="9" t="s">
        <v>197</v>
      </c>
    </row>
    <row r="201" spans="1:16" x14ac:dyDescent="0.25">
      <c r="A201" s="6">
        <v>11</v>
      </c>
      <c r="B201" s="7" t="s">
        <v>247</v>
      </c>
      <c r="C201" s="7">
        <v>1855</v>
      </c>
      <c r="D201" s="7">
        <v>1040.992</v>
      </c>
      <c r="E201" s="7">
        <v>1931041</v>
      </c>
      <c r="F201" s="7">
        <v>1041</v>
      </c>
      <c r="G201" s="7">
        <v>1931041</v>
      </c>
      <c r="H201" s="7">
        <v>230.88800000000001</v>
      </c>
      <c r="I201" s="7" t="s">
        <v>23</v>
      </c>
      <c r="J201" s="7"/>
      <c r="K201" s="8" t="s">
        <v>143</v>
      </c>
      <c r="L201" s="7">
        <f t="shared" si="22"/>
        <v>57.722000000000001</v>
      </c>
      <c r="M201" s="7" t="s">
        <v>42</v>
      </c>
      <c r="N201" s="7"/>
      <c r="O201" s="7">
        <f t="shared" si="26"/>
        <v>0</v>
      </c>
      <c r="P201" s="9" t="s">
        <v>197</v>
      </c>
    </row>
    <row r="202" spans="1:16" x14ac:dyDescent="0.25">
      <c r="A202" s="6">
        <v>12</v>
      </c>
      <c r="B202" s="7" t="s">
        <v>248</v>
      </c>
      <c r="C202" s="7">
        <v>1961</v>
      </c>
      <c r="D202" s="7">
        <v>1041.1859999999999</v>
      </c>
      <c r="E202" s="7">
        <v>2041765</v>
      </c>
      <c r="F202" s="7">
        <v>1041</v>
      </c>
      <c r="G202" s="7">
        <v>2041765</v>
      </c>
      <c r="H202" s="7">
        <v>244.02600000000001</v>
      </c>
      <c r="I202" s="7" t="s">
        <v>23</v>
      </c>
      <c r="J202" s="7"/>
      <c r="K202" s="8" t="s">
        <v>143</v>
      </c>
      <c r="L202" s="7">
        <f t="shared" si="22"/>
        <v>61.006500000000003</v>
      </c>
      <c r="M202" s="7" t="s">
        <v>42</v>
      </c>
      <c r="N202" s="7"/>
      <c r="O202" s="7">
        <f t="shared" si="26"/>
        <v>0</v>
      </c>
      <c r="P202" s="9" t="s">
        <v>197</v>
      </c>
    </row>
    <row r="203" spans="1:16" x14ac:dyDescent="0.25">
      <c r="A203" s="10">
        <v>13</v>
      </c>
      <c r="B203" s="11" t="s">
        <v>249</v>
      </c>
      <c r="C203" s="11">
        <v>1789</v>
      </c>
      <c r="D203" s="11">
        <v>1038.864</v>
      </c>
      <c r="E203" s="11">
        <v>1858527</v>
      </c>
      <c r="F203" s="11">
        <v>1039</v>
      </c>
      <c r="G203" s="11">
        <v>1858527</v>
      </c>
      <c r="H203" s="11">
        <v>222.15600000000001</v>
      </c>
      <c r="I203" s="7" t="s">
        <v>23</v>
      </c>
      <c r="J203" s="11"/>
      <c r="K203" s="12" t="s">
        <v>143</v>
      </c>
      <c r="L203" s="11">
        <f t="shared" si="22"/>
        <v>55.539000000000001</v>
      </c>
      <c r="M203" s="11" t="s">
        <v>42</v>
      </c>
      <c r="N203" s="11"/>
      <c r="O203" s="11">
        <f t="shared" si="26"/>
        <v>0</v>
      </c>
      <c r="P203" s="13" t="s">
        <v>197</v>
      </c>
    </row>
    <row r="204" spans="1:16" x14ac:dyDescent="0.25">
      <c r="A204" s="2">
        <v>1</v>
      </c>
      <c r="B204" s="3" t="s">
        <v>251</v>
      </c>
      <c r="C204" s="3">
        <v>3697</v>
      </c>
      <c r="D204" s="3">
        <v>1111.633</v>
      </c>
      <c r="E204" s="3">
        <v>4109706</v>
      </c>
      <c r="F204" s="3">
        <v>1077</v>
      </c>
      <c r="G204" s="3">
        <v>4109706</v>
      </c>
      <c r="H204" s="3">
        <v>461.71699999999998</v>
      </c>
      <c r="I204" s="3" t="s">
        <v>36</v>
      </c>
      <c r="J204" s="3" t="s">
        <v>34</v>
      </c>
      <c r="K204" s="4" t="s">
        <v>142</v>
      </c>
      <c r="L204" s="3">
        <f>H204/4</f>
        <v>115.42925</v>
      </c>
      <c r="M204" s="3" t="s">
        <v>13</v>
      </c>
      <c r="N204" s="3">
        <f t="shared" ref="N204:N213" si="27">G204-(((G$214/C$214*C204)+(G$215/C$215*C204)+(G$216/C$216*C204))/3)</f>
        <v>261063.63068430638</v>
      </c>
      <c r="O204" s="3">
        <f t="shared" si="26"/>
        <v>2261.6765740425967</v>
      </c>
      <c r="P204" s="17" t="s">
        <v>250</v>
      </c>
    </row>
    <row r="205" spans="1:16" x14ac:dyDescent="0.25">
      <c r="A205" s="6">
        <v>2</v>
      </c>
      <c r="B205" s="7" t="s">
        <v>252</v>
      </c>
      <c r="C205" s="7">
        <v>3054</v>
      </c>
      <c r="D205" s="7">
        <v>1094.924</v>
      </c>
      <c r="E205" s="7">
        <v>3343898</v>
      </c>
      <c r="F205" s="7">
        <v>1068</v>
      </c>
      <c r="G205" s="7">
        <v>3343898</v>
      </c>
      <c r="H205" s="7">
        <v>380.62599999999998</v>
      </c>
      <c r="I205" s="7" t="s">
        <v>16</v>
      </c>
      <c r="J205" s="7" t="s">
        <v>34</v>
      </c>
      <c r="K205" s="8" t="s">
        <v>142</v>
      </c>
      <c r="L205" s="7">
        <f>H205/4</f>
        <v>95.156499999999994</v>
      </c>
      <c r="M205" s="7" t="s">
        <v>13</v>
      </c>
      <c r="N205" s="7">
        <f t="shared" si="27"/>
        <v>164630.00002971897</v>
      </c>
      <c r="O205" s="7">
        <f t="shared" si="26"/>
        <v>1730.0972611405314</v>
      </c>
      <c r="P205" s="16" t="s">
        <v>250</v>
      </c>
    </row>
    <row r="206" spans="1:16" x14ac:dyDescent="0.25">
      <c r="A206" s="6">
        <v>3</v>
      </c>
      <c r="B206" s="7" t="s">
        <v>253</v>
      </c>
      <c r="C206" s="7">
        <v>3374</v>
      </c>
      <c r="D206" s="7">
        <v>1102.9690000000001</v>
      </c>
      <c r="E206" s="7">
        <v>3721419</v>
      </c>
      <c r="F206" s="7">
        <v>1072</v>
      </c>
      <c r="G206" s="7">
        <v>3721419</v>
      </c>
      <c r="H206" s="7">
        <v>421.09500000000003</v>
      </c>
      <c r="I206" s="7" t="s">
        <v>17</v>
      </c>
      <c r="J206" s="7" t="s">
        <v>34</v>
      </c>
      <c r="K206" s="8" t="s">
        <v>142</v>
      </c>
      <c r="L206" s="7">
        <f t="shared" ref="L206:L242" si="28">H206/4</f>
        <v>105.27375000000001</v>
      </c>
      <c r="M206" s="7" t="s">
        <v>13</v>
      </c>
      <c r="N206" s="7">
        <f t="shared" si="27"/>
        <v>209025.34187959135</v>
      </c>
      <c r="O206" s="7">
        <f t="shared" si="26"/>
        <v>1985.5409527977424</v>
      </c>
      <c r="P206" s="16" t="s">
        <v>250</v>
      </c>
    </row>
    <row r="207" spans="1:16" x14ac:dyDescent="0.25">
      <c r="A207" s="6">
        <v>4</v>
      </c>
      <c r="B207" s="7" t="s">
        <v>254</v>
      </c>
      <c r="C207" s="7">
        <v>3645</v>
      </c>
      <c r="D207" s="7">
        <v>1115.134</v>
      </c>
      <c r="E207" s="7">
        <v>4064665</v>
      </c>
      <c r="F207" s="7">
        <v>1083</v>
      </c>
      <c r="G207" s="7">
        <v>4064665</v>
      </c>
      <c r="H207" s="7">
        <v>454.21899999999999</v>
      </c>
      <c r="I207" s="7" t="s">
        <v>18</v>
      </c>
      <c r="J207" s="7" t="s">
        <v>34</v>
      </c>
      <c r="K207" s="8" t="s">
        <v>142</v>
      </c>
      <c r="L207" s="7">
        <f t="shared" si="28"/>
        <v>113.55475</v>
      </c>
      <c r="M207" s="7" t="s">
        <v>13</v>
      </c>
      <c r="N207" s="7">
        <f t="shared" si="27"/>
        <v>270155.55013370188</v>
      </c>
      <c r="O207" s="7">
        <f t="shared" si="26"/>
        <v>2379.0774946332222</v>
      </c>
      <c r="P207" s="16" t="s">
        <v>250</v>
      </c>
    </row>
    <row r="208" spans="1:16" x14ac:dyDescent="0.25">
      <c r="A208" s="6">
        <v>5</v>
      </c>
      <c r="B208" s="7" t="s">
        <v>255</v>
      </c>
      <c r="C208" s="7">
        <v>2629</v>
      </c>
      <c r="D208" s="7">
        <v>1175.7260000000001</v>
      </c>
      <c r="E208" s="7">
        <v>3090984</v>
      </c>
      <c r="F208" s="7">
        <v>1097</v>
      </c>
      <c r="G208" s="7">
        <v>3090984</v>
      </c>
      <c r="H208" s="7">
        <v>328.28</v>
      </c>
      <c r="I208" s="7" t="s">
        <v>19</v>
      </c>
      <c r="J208" s="7" t="s">
        <v>34</v>
      </c>
      <c r="K208" s="8" t="s">
        <v>142</v>
      </c>
      <c r="L208" s="7">
        <f t="shared" si="28"/>
        <v>82.07</v>
      </c>
      <c r="M208" s="7" t="s">
        <v>13</v>
      </c>
      <c r="N208" s="7">
        <f t="shared" si="27"/>
        <v>354148.51476035686</v>
      </c>
      <c r="O208" s="7">
        <f t="shared" si="26"/>
        <v>4315.200618500754</v>
      </c>
      <c r="P208" s="16" t="s">
        <v>250</v>
      </c>
    </row>
    <row r="209" spans="1:16" x14ac:dyDescent="0.25">
      <c r="A209" s="6">
        <v>6</v>
      </c>
      <c r="B209" s="7" t="s">
        <v>256</v>
      </c>
      <c r="C209" s="7">
        <v>2643</v>
      </c>
      <c r="D209" s="7">
        <v>1050.787</v>
      </c>
      <c r="E209" s="7">
        <v>2777230</v>
      </c>
      <c r="F209" s="7">
        <v>1050</v>
      </c>
      <c r="G209" s="7">
        <v>2777230</v>
      </c>
      <c r="H209" s="7">
        <v>329.22</v>
      </c>
      <c r="I209" s="7" t="s">
        <v>20</v>
      </c>
      <c r="J209" s="7" t="s">
        <v>34</v>
      </c>
      <c r="K209" s="8" t="s">
        <v>142</v>
      </c>
      <c r="L209" s="7">
        <f t="shared" si="28"/>
        <v>82.305000000000007</v>
      </c>
      <c r="M209" s="7" t="s">
        <v>13</v>
      </c>
      <c r="N209" s="7">
        <f t="shared" si="27"/>
        <v>25820.267216289416</v>
      </c>
      <c r="O209" s="7">
        <f t="shared" si="26"/>
        <v>313.71444281987016</v>
      </c>
      <c r="P209" s="16" t="s">
        <v>250</v>
      </c>
    </row>
    <row r="210" spans="1:16" x14ac:dyDescent="0.25">
      <c r="A210" s="6">
        <v>7</v>
      </c>
      <c r="B210" s="7" t="s">
        <v>257</v>
      </c>
      <c r="C210" s="7">
        <v>3164</v>
      </c>
      <c r="D210" s="7">
        <v>1114.2660000000001</v>
      </c>
      <c r="E210" s="7">
        <v>3525537</v>
      </c>
      <c r="F210" s="7">
        <v>1079</v>
      </c>
      <c r="G210" s="7">
        <v>3525537</v>
      </c>
      <c r="H210" s="7">
        <v>394.83499999999998</v>
      </c>
      <c r="I210" s="7" t="s">
        <v>21</v>
      </c>
      <c r="J210" s="7" t="s">
        <v>34</v>
      </c>
      <c r="K210" s="8" t="s">
        <v>142</v>
      </c>
      <c r="L210" s="7">
        <f t="shared" si="28"/>
        <v>98.708749999999995</v>
      </c>
      <c r="M210" s="7" t="s">
        <v>13</v>
      </c>
      <c r="N210" s="7">
        <f t="shared" si="27"/>
        <v>231757.05504061282</v>
      </c>
      <c r="O210" s="7">
        <f t="shared" si="26"/>
        <v>2347.8876496826556</v>
      </c>
      <c r="P210" s="16" t="s">
        <v>250</v>
      </c>
    </row>
    <row r="211" spans="1:16" x14ac:dyDescent="0.25">
      <c r="A211" s="6">
        <v>8</v>
      </c>
      <c r="B211" s="7" t="s">
        <v>258</v>
      </c>
      <c r="C211" s="7">
        <v>3668</v>
      </c>
      <c r="D211" s="7">
        <v>1203.8019999999999</v>
      </c>
      <c r="E211" s="7">
        <v>4415544</v>
      </c>
      <c r="F211" s="7">
        <v>1133</v>
      </c>
      <c r="G211" s="7">
        <v>4415544</v>
      </c>
      <c r="H211" s="7">
        <v>457.16899999999998</v>
      </c>
      <c r="I211" s="7" t="s">
        <v>22</v>
      </c>
      <c r="J211" s="7" t="s">
        <v>34</v>
      </c>
      <c r="K211" s="8" t="s">
        <v>142</v>
      </c>
      <c r="L211" s="7">
        <f t="shared" si="28"/>
        <v>114.29225</v>
      </c>
      <c r="M211" s="7" t="s">
        <v>13</v>
      </c>
      <c r="N211" s="7">
        <f t="shared" si="27"/>
        <v>597091.14345416101</v>
      </c>
      <c r="O211" s="7">
        <f t="shared" si="26"/>
        <v>5224.2487434988898</v>
      </c>
      <c r="P211" s="16" t="s">
        <v>250</v>
      </c>
    </row>
    <row r="212" spans="1:16" x14ac:dyDescent="0.25">
      <c r="A212" s="6">
        <v>9</v>
      </c>
      <c r="B212" s="7" t="s">
        <v>259</v>
      </c>
      <c r="C212" s="7">
        <v>3405</v>
      </c>
      <c r="D212" s="7">
        <v>1151.567</v>
      </c>
      <c r="E212" s="7">
        <v>3921086</v>
      </c>
      <c r="F212" s="7">
        <v>1096</v>
      </c>
      <c r="G212" s="7">
        <v>3921086</v>
      </c>
      <c r="H212" s="7">
        <v>424.48700000000002</v>
      </c>
      <c r="I212" s="7" t="s">
        <v>24</v>
      </c>
      <c r="J212" s="7" t="s">
        <v>34</v>
      </c>
      <c r="K212" s="8" t="s">
        <v>142</v>
      </c>
      <c r="L212" s="7">
        <f>H212/4</f>
        <v>106.12175000000001</v>
      </c>
      <c r="M212" s="7" t="s">
        <v>13</v>
      </c>
      <c r="N212" s="7">
        <f t="shared" si="27"/>
        <v>376420.79374629771</v>
      </c>
      <c r="O212" s="7">
        <f t="shared" si="26"/>
        <v>3547.0654578000995</v>
      </c>
      <c r="P212" s="16" t="s">
        <v>250</v>
      </c>
    </row>
    <row r="213" spans="1:16" x14ac:dyDescent="0.25">
      <c r="A213" s="6">
        <v>10</v>
      </c>
      <c r="B213" s="7" t="s">
        <v>260</v>
      </c>
      <c r="C213" s="7">
        <v>3496</v>
      </c>
      <c r="D213" s="7">
        <v>1134.4870000000001</v>
      </c>
      <c r="E213" s="7">
        <v>3966165</v>
      </c>
      <c r="F213" s="7">
        <v>1084</v>
      </c>
      <c r="G213" s="7">
        <v>3966165</v>
      </c>
      <c r="H213" s="7">
        <v>437.46899999999999</v>
      </c>
      <c r="I213" s="7" t="s">
        <v>25</v>
      </c>
      <c r="J213" s="7" t="s">
        <v>34</v>
      </c>
      <c r="K213" s="8" t="s">
        <v>142</v>
      </c>
      <c r="L213" s="7">
        <f>H213/4</f>
        <v>109.36725</v>
      </c>
      <c r="M213" s="7" t="s">
        <v>13</v>
      </c>
      <c r="N213" s="7">
        <f t="shared" si="27"/>
        <v>326767.18470985489</v>
      </c>
      <c r="O213" s="7">
        <f t="shared" si="26"/>
        <v>2987.7973955627017</v>
      </c>
      <c r="P213" s="16" t="s">
        <v>250</v>
      </c>
    </row>
    <row r="214" spans="1:16" x14ac:dyDescent="0.25">
      <c r="A214" s="6">
        <v>11</v>
      </c>
      <c r="B214" s="7" t="s">
        <v>261</v>
      </c>
      <c r="C214" s="7">
        <v>1879</v>
      </c>
      <c r="D214" s="7">
        <v>1042.0820000000001</v>
      </c>
      <c r="E214" s="7">
        <v>1958073</v>
      </c>
      <c r="F214" s="7">
        <v>1041</v>
      </c>
      <c r="G214" s="7">
        <v>1958073</v>
      </c>
      <c r="H214" s="7">
        <v>233.21899999999999</v>
      </c>
      <c r="I214" s="7" t="s">
        <v>23</v>
      </c>
      <c r="J214" s="7"/>
      <c r="K214" s="8" t="s">
        <v>142</v>
      </c>
      <c r="L214" s="7">
        <f t="shared" si="28"/>
        <v>58.304749999999999</v>
      </c>
      <c r="M214" s="7" t="s">
        <v>13</v>
      </c>
      <c r="N214" s="7"/>
      <c r="O214" s="7">
        <f t="shared" si="26"/>
        <v>0</v>
      </c>
      <c r="P214" s="16" t="s">
        <v>250</v>
      </c>
    </row>
    <row r="215" spans="1:16" x14ac:dyDescent="0.25">
      <c r="A215" s="6">
        <v>12</v>
      </c>
      <c r="B215" s="7" t="s">
        <v>262</v>
      </c>
      <c r="C215" s="7">
        <v>2279</v>
      </c>
      <c r="D215" s="7">
        <v>1044.9570000000001</v>
      </c>
      <c r="E215" s="7">
        <v>2381457</v>
      </c>
      <c r="F215" s="7">
        <v>1045</v>
      </c>
      <c r="G215" s="7">
        <v>2381457</v>
      </c>
      <c r="H215" s="7">
        <v>283.81900000000002</v>
      </c>
      <c r="I215" s="7" t="s">
        <v>23</v>
      </c>
      <c r="J215" s="7"/>
      <c r="K215" s="8" t="s">
        <v>142</v>
      </c>
      <c r="L215" s="7">
        <f t="shared" si="28"/>
        <v>70.954750000000004</v>
      </c>
      <c r="M215" s="7" t="s">
        <v>13</v>
      </c>
      <c r="N215" s="7"/>
      <c r="O215" s="7">
        <f t="shared" si="26"/>
        <v>0</v>
      </c>
      <c r="P215" s="16" t="s">
        <v>250</v>
      </c>
    </row>
    <row r="216" spans="1:16" x14ac:dyDescent="0.25">
      <c r="A216" s="10">
        <v>13</v>
      </c>
      <c r="B216" s="11" t="s">
        <v>263</v>
      </c>
      <c r="C216" s="11">
        <v>2877</v>
      </c>
      <c r="D216" s="11">
        <v>1036.0139999999999</v>
      </c>
      <c r="E216" s="11">
        <v>2980611</v>
      </c>
      <c r="F216" s="11">
        <v>1036</v>
      </c>
      <c r="G216" s="11">
        <v>2980611</v>
      </c>
      <c r="H216" s="11">
        <v>358.21499999999997</v>
      </c>
      <c r="I216" s="7" t="s">
        <v>23</v>
      </c>
      <c r="J216" s="11"/>
      <c r="K216" s="12" t="s">
        <v>142</v>
      </c>
      <c r="L216" s="11">
        <f t="shared" si="28"/>
        <v>89.553749999999994</v>
      </c>
      <c r="M216" s="11" t="s">
        <v>13</v>
      </c>
      <c r="N216" s="11"/>
      <c r="O216" s="11">
        <f t="shared" si="26"/>
        <v>0</v>
      </c>
      <c r="P216" s="18" t="s">
        <v>250</v>
      </c>
    </row>
    <row r="217" spans="1:16" x14ac:dyDescent="0.25">
      <c r="A217" s="2">
        <v>1</v>
      </c>
      <c r="B217" s="3" t="s">
        <v>264</v>
      </c>
      <c r="C217" s="3">
        <v>2892</v>
      </c>
      <c r="D217" s="3">
        <v>1066.422</v>
      </c>
      <c r="E217" s="3">
        <v>3084093</v>
      </c>
      <c r="F217" s="3">
        <v>1052</v>
      </c>
      <c r="G217" s="3">
        <v>3084093</v>
      </c>
      <c r="H217" s="3">
        <v>360.24599999999998</v>
      </c>
      <c r="I217" s="3" t="s">
        <v>26</v>
      </c>
      <c r="J217" s="3" t="s">
        <v>34</v>
      </c>
      <c r="K217" s="4" t="s">
        <v>142</v>
      </c>
      <c r="L217" s="3">
        <f t="shared" si="28"/>
        <v>90.061499999999995</v>
      </c>
      <c r="M217" s="3" t="s">
        <v>14</v>
      </c>
      <c r="N217" s="3">
        <f t="shared" ref="N217:N224" si="29">G217-(((G$227/C$227*C217)+(G$228/C$228*C217)+(G$229/C$229*C217))/3)</f>
        <v>65866.987575661857</v>
      </c>
      <c r="O217" s="3">
        <f>N217/L217</f>
        <v>731.35565780785203</v>
      </c>
      <c r="P217" s="17" t="s">
        <v>250</v>
      </c>
    </row>
    <row r="218" spans="1:16" x14ac:dyDescent="0.25">
      <c r="A218" s="6">
        <v>2</v>
      </c>
      <c r="B218" s="7" t="s">
        <v>265</v>
      </c>
      <c r="C218" s="7">
        <v>2636</v>
      </c>
      <c r="D218" s="7">
        <v>1063.4739999999999</v>
      </c>
      <c r="E218" s="7">
        <v>2803317</v>
      </c>
      <c r="F218" s="7">
        <v>1055</v>
      </c>
      <c r="G218" s="7">
        <v>2803317</v>
      </c>
      <c r="H218" s="7">
        <v>328.39600000000002</v>
      </c>
      <c r="I218" s="7" t="s">
        <v>27</v>
      </c>
      <c r="J218" s="7" t="s">
        <v>34</v>
      </c>
      <c r="K218" s="8" t="s">
        <v>142</v>
      </c>
      <c r="L218" s="7">
        <f t="shared" si="28"/>
        <v>82.099000000000004</v>
      </c>
      <c r="M218" s="7" t="s">
        <v>14</v>
      </c>
      <c r="N218" s="7">
        <f t="shared" si="29"/>
        <v>52264.521178923082</v>
      </c>
      <c r="O218" s="7">
        <f t="shared" si="26"/>
        <v>636.60362707125637</v>
      </c>
      <c r="P218" s="16" t="s">
        <v>250</v>
      </c>
    </row>
    <row r="219" spans="1:16" x14ac:dyDescent="0.25">
      <c r="A219" s="6">
        <v>3</v>
      </c>
      <c r="B219" s="7" t="s">
        <v>266</v>
      </c>
      <c r="C219" s="7">
        <v>3729</v>
      </c>
      <c r="D219" s="7">
        <v>1152.779</v>
      </c>
      <c r="E219" s="7">
        <v>4298714</v>
      </c>
      <c r="F219" s="7">
        <v>1094</v>
      </c>
      <c r="G219" s="7">
        <v>4298714</v>
      </c>
      <c r="H219" s="7">
        <v>465.31200000000001</v>
      </c>
      <c r="I219" s="7" t="s">
        <v>28</v>
      </c>
      <c r="J219" s="7" t="s">
        <v>34</v>
      </c>
      <c r="K219" s="8" t="s">
        <v>142</v>
      </c>
      <c r="L219" s="7">
        <f t="shared" si="28"/>
        <v>116.328</v>
      </c>
      <c r="M219" s="7" t="s">
        <v>14</v>
      </c>
      <c r="N219" s="7">
        <f t="shared" si="29"/>
        <v>406955.77028687531</v>
      </c>
      <c r="O219" s="7">
        <f t="shared" si="26"/>
        <v>3498.3475198307829</v>
      </c>
      <c r="P219" s="16" t="s">
        <v>250</v>
      </c>
    </row>
    <row r="220" spans="1:16" x14ac:dyDescent="0.25">
      <c r="A220" s="6">
        <v>4</v>
      </c>
      <c r="B220" s="7" t="s">
        <v>267</v>
      </c>
      <c r="C220" s="7">
        <v>3740</v>
      </c>
      <c r="D220" s="7">
        <v>1160.0609999999999</v>
      </c>
      <c r="E220" s="7">
        <v>4338629</v>
      </c>
      <c r="F220" s="7">
        <v>1104</v>
      </c>
      <c r="G220" s="7">
        <v>4338629</v>
      </c>
      <c r="H220" s="7">
        <v>465.98099999999999</v>
      </c>
      <c r="I220" s="7" t="s">
        <v>29</v>
      </c>
      <c r="J220" s="7" t="s">
        <v>34</v>
      </c>
      <c r="K220" s="8" t="s">
        <v>142</v>
      </c>
      <c r="L220" s="7">
        <f t="shared" si="28"/>
        <v>116.49525</v>
      </c>
      <c r="M220" s="7" t="s">
        <v>14</v>
      </c>
      <c r="N220" s="7">
        <f t="shared" si="29"/>
        <v>435390.65751486039</v>
      </c>
      <c r="O220" s="7">
        <f t="shared" si="26"/>
        <v>3737.4112465088524</v>
      </c>
      <c r="P220" s="16" t="s">
        <v>250</v>
      </c>
    </row>
    <row r="221" spans="1:16" x14ac:dyDescent="0.25">
      <c r="A221" s="6">
        <v>5</v>
      </c>
      <c r="B221" s="7" t="s">
        <v>268</v>
      </c>
      <c r="C221" s="7">
        <v>3255</v>
      </c>
      <c r="D221" s="7">
        <v>1132.5250000000001</v>
      </c>
      <c r="E221" s="7">
        <v>3686370</v>
      </c>
      <c r="F221" s="7">
        <v>1079</v>
      </c>
      <c r="G221" s="7">
        <v>3686370</v>
      </c>
      <c r="H221" s="7">
        <v>405.70400000000001</v>
      </c>
      <c r="I221" s="7" t="s">
        <v>35</v>
      </c>
      <c r="J221" s="7" t="s">
        <v>34</v>
      </c>
      <c r="K221" s="8" t="s">
        <v>142</v>
      </c>
      <c r="L221" s="7">
        <f t="shared" si="28"/>
        <v>101.426</v>
      </c>
      <c r="M221" s="7" t="s">
        <v>14</v>
      </c>
      <c r="N221" s="7">
        <f t="shared" si="29"/>
        <v>289300.26609916287</v>
      </c>
      <c r="O221" s="7">
        <f t="shared" si="26"/>
        <v>2852.3284571920699</v>
      </c>
      <c r="P221" s="16" t="s">
        <v>250</v>
      </c>
    </row>
    <row r="222" spans="1:16" x14ac:dyDescent="0.25">
      <c r="A222" s="6">
        <v>6</v>
      </c>
      <c r="B222" s="7" t="s">
        <v>269</v>
      </c>
      <c r="C222" s="7">
        <v>2528</v>
      </c>
      <c r="D222" s="7">
        <v>1060.8889999999999</v>
      </c>
      <c r="E222" s="7">
        <v>2681927</v>
      </c>
      <c r="F222" s="7">
        <v>1056</v>
      </c>
      <c r="G222" s="7">
        <v>2681927</v>
      </c>
      <c r="H222" s="7">
        <v>315.65300000000002</v>
      </c>
      <c r="I222" s="7" t="s">
        <v>30</v>
      </c>
      <c r="J222" s="7" t="s">
        <v>34</v>
      </c>
      <c r="K222" s="8" t="s">
        <v>142</v>
      </c>
      <c r="L222" s="7">
        <f t="shared" si="28"/>
        <v>78.913250000000005</v>
      </c>
      <c r="M222" s="7" t="s">
        <v>14</v>
      </c>
      <c r="N222" s="7">
        <f t="shared" si="29"/>
        <v>43588.35566779878</v>
      </c>
      <c r="O222" s="7">
        <f t="shared" si="26"/>
        <v>552.35788245698632</v>
      </c>
      <c r="P222" s="16" t="s">
        <v>250</v>
      </c>
    </row>
    <row r="223" spans="1:16" x14ac:dyDescent="0.25">
      <c r="A223" s="6">
        <v>7</v>
      </c>
      <c r="B223" s="7" t="s">
        <v>270</v>
      </c>
      <c r="C223" s="7">
        <v>3472</v>
      </c>
      <c r="D223" s="7">
        <v>1153.6790000000001</v>
      </c>
      <c r="E223" s="7">
        <v>4005575</v>
      </c>
      <c r="F223" s="7">
        <v>1094</v>
      </c>
      <c r="G223" s="7">
        <v>4005575</v>
      </c>
      <c r="H223" s="7">
        <v>433.24799999999999</v>
      </c>
      <c r="I223" s="7" t="s">
        <v>31</v>
      </c>
      <c r="J223" s="7" t="s">
        <v>34</v>
      </c>
      <c r="K223" s="8" t="s">
        <v>142</v>
      </c>
      <c r="L223" s="7">
        <f t="shared" si="28"/>
        <v>108.312</v>
      </c>
      <c r="M223" s="7" t="s">
        <v>14</v>
      </c>
      <c r="N223" s="7">
        <f t="shared" si="29"/>
        <v>382033.950505774</v>
      </c>
      <c r="O223" s="7">
        <f t="shared" si="26"/>
        <v>3527.1618149953283</v>
      </c>
      <c r="P223" s="16" t="s">
        <v>250</v>
      </c>
    </row>
    <row r="224" spans="1:16" x14ac:dyDescent="0.25">
      <c r="A224" s="6">
        <v>8</v>
      </c>
      <c r="B224" s="7" t="s">
        <v>271</v>
      </c>
      <c r="C224" s="7">
        <v>3885</v>
      </c>
      <c r="D224" s="7">
        <v>1180.9860000000001</v>
      </c>
      <c r="E224" s="7">
        <v>4588132</v>
      </c>
      <c r="F224" s="7">
        <v>1109</v>
      </c>
      <c r="G224" s="7">
        <v>4588132</v>
      </c>
      <c r="H224" s="7">
        <v>484.791</v>
      </c>
      <c r="I224" s="7" t="s">
        <v>32</v>
      </c>
      <c r="J224" s="7" t="s">
        <v>34</v>
      </c>
      <c r="K224" s="8" t="s">
        <v>142</v>
      </c>
      <c r="L224" s="7">
        <f t="shared" si="28"/>
        <v>121.19775</v>
      </c>
      <c r="M224" s="7" t="s">
        <v>14</v>
      </c>
      <c r="N224" s="7">
        <f t="shared" si="29"/>
        <v>533564.89824738866</v>
      </c>
      <c r="O224" s="7">
        <f t="shared" si="26"/>
        <v>4402.4323739292904</v>
      </c>
      <c r="P224" s="16" t="s">
        <v>250</v>
      </c>
    </row>
    <row r="225" spans="1:16" x14ac:dyDescent="0.25">
      <c r="A225" s="6">
        <v>9</v>
      </c>
      <c r="B225" s="7" t="s">
        <v>272</v>
      </c>
      <c r="C225" s="7">
        <v>3554</v>
      </c>
      <c r="D225" s="7">
        <v>1125.1579999999999</v>
      </c>
      <c r="E225" s="7">
        <v>3998812</v>
      </c>
      <c r="F225" s="7">
        <v>1076</v>
      </c>
      <c r="G225" s="7">
        <v>3998812</v>
      </c>
      <c r="H225" s="7">
        <v>443.291</v>
      </c>
      <c r="I225" s="7" t="s">
        <v>38</v>
      </c>
      <c r="J225" s="7" t="s">
        <v>34</v>
      </c>
      <c r="K225" s="8" t="s">
        <v>142</v>
      </c>
      <c r="L225" s="7">
        <f>H225/4</f>
        <v>110.82275</v>
      </c>
      <c r="M225" s="7" t="s">
        <v>14</v>
      </c>
      <c r="N225" s="7">
        <f>G225-(((G$227/C$227*C225)+(G$228/C$228*C225)+(G$229/C$229*C225))/3)</f>
        <v>289691.92802347988</v>
      </c>
      <c r="O225" s="7">
        <f t="shared" si="26"/>
        <v>2614.0113652068721</v>
      </c>
      <c r="P225" s="16" t="s">
        <v>250</v>
      </c>
    </row>
    <row r="226" spans="1:16" x14ac:dyDescent="0.25">
      <c r="A226" s="6">
        <v>10</v>
      </c>
      <c r="B226" s="7" t="s">
        <v>273</v>
      </c>
      <c r="C226" s="7">
        <v>2421</v>
      </c>
      <c r="D226" s="7">
        <v>1053.4110000000001</v>
      </c>
      <c r="E226" s="7">
        <v>2550309</v>
      </c>
      <c r="F226" s="7">
        <v>1048</v>
      </c>
      <c r="G226" s="7">
        <v>2550309</v>
      </c>
      <c r="H226" s="7">
        <v>301.48500000000001</v>
      </c>
      <c r="I226" s="7" t="s">
        <v>33</v>
      </c>
      <c r="J226" s="7" t="s">
        <v>34</v>
      </c>
      <c r="K226" s="8" t="s">
        <v>142</v>
      </c>
      <c r="L226" s="7">
        <f>H226/4</f>
        <v>75.371250000000003</v>
      </c>
      <c r="M226" s="7" t="s">
        <v>14</v>
      </c>
      <c r="N226" s="7">
        <f>G226-(((G$227/C$227*C226)+(G$228/C$228*C226)+(G$229/C$229*C226))/3)</f>
        <v>23640.543541036546</v>
      </c>
      <c r="O226" s="7">
        <f t="shared" si="26"/>
        <v>313.65465666333711</v>
      </c>
      <c r="P226" s="16" t="s">
        <v>250</v>
      </c>
    </row>
    <row r="227" spans="1:16" x14ac:dyDescent="0.25">
      <c r="A227" s="6">
        <v>11</v>
      </c>
      <c r="B227" s="7" t="s">
        <v>274</v>
      </c>
      <c r="C227" s="7">
        <v>2487</v>
      </c>
      <c r="D227" s="7">
        <v>1044.953</v>
      </c>
      <c r="E227" s="7">
        <v>2598798</v>
      </c>
      <c r="F227" s="7">
        <v>1044</v>
      </c>
      <c r="G227" s="7">
        <v>2598798</v>
      </c>
      <c r="H227" s="7">
        <v>310.19299999999998</v>
      </c>
      <c r="I227" s="7" t="s">
        <v>23</v>
      </c>
      <c r="J227" s="7"/>
      <c r="K227" s="8" t="s">
        <v>142</v>
      </c>
      <c r="L227" s="7">
        <f t="shared" si="28"/>
        <v>77.548249999999996</v>
      </c>
      <c r="M227" s="7" t="s">
        <v>14</v>
      </c>
      <c r="N227" s="7"/>
      <c r="O227" s="7">
        <f t="shared" si="26"/>
        <v>0</v>
      </c>
      <c r="P227" s="16" t="s">
        <v>250</v>
      </c>
    </row>
    <row r="228" spans="1:16" x14ac:dyDescent="0.25">
      <c r="A228" s="6">
        <v>12</v>
      </c>
      <c r="B228" s="7" t="s">
        <v>275</v>
      </c>
      <c r="C228" s="7">
        <v>2695</v>
      </c>
      <c r="D228" s="7">
        <v>1041.1189999999999</v>
      </c>
      <c r="E228" s="7">
        <v>2805817</v>
      </c>
      <c r="F228" s="7">
        <v>1041</v>
      </c>
      <c r="G228" s="7">
        <v>2805817</v>
      </c>
      <c r="H228" s="7">
        <v>336.077</v>
      </c>
      <c r="I228" s="7" t="s">
        <v>23</v>
      </c>
      <c r="J228" s="7"/>
      <c r="K228" s="8" t="s">
        <v>142</v>
      </c>
      <c r="L228" s="7">
        <f t="shared" si="28"/>
        <v>84.01925</v>
      </c>
      <c r="M228" s="7" t="s">
        <v>14</v>
      </c>
      <c r="N228" s="7"/>
      <c r="O228" s="7">
        <f t="shared" si="26"/>
        <v>0</v>
      </c>
      <c r="P228" s="16" t="s">
        <v>250</v>
      </c>
    </row>
    <row r="229" spans="1:16" x14ac:dyDescent="0.25">
      <c r="A229" s="10">
        <v>13</v>
      </c>
      <c r="B229" s="11" t="s">
        <v>276</v>
      </c>
      <c r="C229" s="11">
        <v>2866</v>
      </c>
      <c r="D229" s="11">
        <v>1044.867</v>
      </c>
      <c r="E229" s="11">
        <v>2994590</v>
      </c>
      <c r="F229" s="11">
        <v>1045</v>
      </c>
      <c r="G229" s="11">
        <v>2994590</v>
      </c>
      <c r="H229" s="11">
        <v>356.78800000000001</v>
      </c>
      <c r="I229" s="7" t="s">
        <v>23</v>
      </c>
      <c r="J229" s="11"/>
      <c r="K229" s="12" t="s">
        <v>142</v>
      </c>
      <c r="L229" s="11">
        <f t="shared" si="28"/>
        <v>89.197000000000003</v>
      </c>
      <c r="M229" s="11" t="s">
        <v>14</v>
      </c>
      <c r="N229" s="11"/>
      <c r="O229" s="11">
        <f t="shared" si="26"/>
        <v>0</v>
      </c>
      <c r="P229" s="18" t="s">
        <v>250</v>
      </c>
    </row>
    <row r="230" spans="1:16" x14ac:dyDescent="0.25">
      <c r="A230" s="2">
        <v>1</v>
      </c>
      <c r="B230" s="3" t="s">
        <v>277</v>
      </c>
      <c r="C230" s="3">
        <v>2564</v>
      </c>
      <c r="D230" s="3">
        <v>1073.7249999999999</v>
      </c>
      <c r="E230" s="3">
        <v>2753030</v>
      </c>
      <c r="F230" s="3">
        <v>1057</v>
      </c>
      <c r="G230" s="3">
        <v>2753030</v>
      </c>
      <c r="H230" s="3">
        <v>321.053</v>
      </c>
      <c r="I230" s="3" t="s">
        <v>303</v>
      </c>
      <c r="J230" s="3" t="s">
        <v>34</v>
      </c>
      <c r="K230" s="4" t="s">
        <v>143</v>
      </c>
      <c r="L230" s="3">
        <f t="shared" si="28"/>
        <v>80.263249999999999</v>
      </c>
      <c r="M230" s="3" t="s">
        <v>41</v>
      </c>
      <c r="N230" s="3">
        <f>G230-(((G$240/C$240*C230)+(G$241/C$241*C230)+(G$242/C$242*C230))/3)</f>
        <v>88941.608894557226</v>
      </c>
      <c r="O230" s="3">
        <f t="shared" si="26"/>
        <v>1108.1236916590997</v>
      </c>
      <c r="P230" s="17" t="s">
        <v>250</v>
      </c>
    </row>
    <row r="231" spans="1:16" x14ac:dyDescent="0.25">
      <c r="A231" s="6">
        <v>2</v>
      </c>
      <c r="B231" s="7" t="s">
        <v>278</v>
      </c>
      <c r="C231" s="7">
        <v>3467</v>
      </c>
      <c r="D231" s="7">
        <v>1075.356</v>
      </c>
      <c r="E231" s="7">
        <v>3728259</v>
      </c>
      <c r="F231" s="7">
        <v>1059</v>
      </c>
      <c r="G231" s="7">
        <v>3728259</v>
      </c>
      <c r="H231" s="7">
        <v>433.791</v>
      </c>
      <c r="I231" s="3" t="s">
        <v>304</v>
      </c>
      <c r="J231" s="7" t="s">
        <v>34</v>
      </c>
      <c r="K231" s="8" t="s">
        <v>143</v>
      </c>
      <c r="L231" s="7">
        <f>H231/4</f>
        <v>108.44775</v>
      </c>
      <c r="M231" s="7" t="s">
        <v>41</v>
      </c>
      <c r="N231" s="7">
        <f>G231-(((G$240/C$240*C231)+(G$241/C$241*C231)+(G$242/C$242*C231))/3)</f>
        <v>125921.07021740684</v>
      </c>
      <c r="O231" s="7">
        <f t="shared" si="26"/>
        <v>1161.1220169842791</v>
      </c>
      <c r="P231" s="16" t="s">
        <v>250</v>
      </c>
    </row>
    <row r="232" spans="1:16" x14ac:dyDescent="0.25">
      <c r="A232" s="6">
        <v>3</v>
      </c>
      <c r="B232" s="7" t="s">
        <v>279</v>
      </c>
      <c r="C232" s="7">
        <v>3108</v>
      </c>
      <c r="D232" s="7">
        <v>1076.7529999999999</v>
      </c>
      <c r="E232" s="7">
        <v>3346549</v>
      </c>
      <c r="F232" s="7">
        <v>1058</v>
      </c>
      <c r="G232" s="7">
        <v>3346549</v>
      </c>
      <c r="H232" s="7">
        <v>387.41</v>
      </c>
      <c r="I232" s="3" t="s">
        <v>305</v>
      </c>
      <c r="J232" s="7" t="s">
        <v>34</v>
      </c>
      <c r="K232" s="8" t="s">
        <v>143</v>
      </c>
      <c r="L232" s="7">
        <f>H232/4</f>
        <v>96.852500000000006</v>
      </c>
      <c r="M232" s="7" t="s">
        <v>41</v>
      </c>
      <c r="N232" s="7">
        <f>G232-(((G$240/C$240*C232)+(G$241/C$241*C232)+(G$242/C$242*C232))/3)</f>
        <v>117225.00641352823</v>
      </c>
      <c r="O232" s="7">
        <f t="shared" si="26"/>
        <v>1210.3456948816831</v>
      </c>
      <c r="P232" s="16" t="s">
        <v>250</v>
      </c>
    </row>
    <row r="233" spans="1:16" x14ac:dyDescent="0.25">
      <c r="A233" s="6">
        <v>4</v>
      </c>
      <c r="B233" s="7" t="s">
        <v>280</v>
      </c>
      <c r="C233" s="7">
        <v>2609</v>
      </c>
      <c r="D233" s="7">
        <v>1103.3610000000001</v>
      </c>
      <c r="E233" s="7">
        <v>2878669</v>
      </c>
      <c r="F233" s="7">
        <v>1085</v>
      </c>
      <c r="G233" s="7">
        <v>2878669</v>
      </c>
      <c r="H233" s="7">
        <v>325.488</v>
      </c>
      <c r="I233" s="3" t="s">
        <v>306</v>
      </c>
      <c r="J233" s="7" t="s">
        <v>34</v>
      </c>
      <c r="K233" s="8" t="s">
        <v>143</v>
      </c>
      <c r="L233" s="7">
        <f t="shared" si="28"/>
        <v>81.372</v>
      </c>
      <c r="M233" s="7" t="s">
        <v>41</v>
      </c>
      <c r="N233" s="7">
        <f t="shared" ref="N233:N239" si="30">G233-(((G$240/C$240*C233)+(G$241/C$241*C233)+(G$242/C$242*C233))/3)</f>
        <v>167823.98736579577</v>
      </c>
      <c r="O233" s="7">
        <f t="shared" si="26"/>
        <v>2062.4291816078721</v>
      </c>
      <c r="P233" s="16" t="s">
        <v>250</v>
      </c>
    </row>
    <row r="234" spans="1:16" x14ac:dyDescent="0.25">
      <c r="A234" s="6">
        <v>5</v>
      </c>
      <c r="B234" s="7" t="s">
        <v>281</v>
      </c>
      <c r="C234" s="7">
        <v>3714</v>
      </c>
      <c r="D234" s="7">
        <v>1101.3309999999999</v>
      </c>
      <c r="E234" s="7">
        <v>4090342</v>
      </c>
      <c r="F234" s="7">
        <v>1073</v>
      </c>
      <c r="G234" s="7">
        <v>4090342</v>
      </c>
      <c r="H234" s="7">
        <v>464.96499999999997</v>
      </c>
      <c r="I234" s="3" t="s">
        <v>307</v>
      </c>
      <c r="J234" s="7" t="s">
        <v>34</v>
      </c>
      <c r="K234" s="8" t="s">
        <v>143</v>
      </c>
      <c r="L234" s="7">
        <f t="shared" si="28"/>
        <v>116.24124999999999</v>
      </c>
      <c r="M234" s="7" t="s">
        <v>41</v>
      </c>
      <c r="N234" s="7">
        <f t="shared" si="30"/>
        <v>231362.16982620396</v>
      </c>
      <c r="O234" s="7">
        <f t="shared" si="26"/>
        <v>1990.3620257542307</v>
      </c>
      <c r="P234" s="16" t="s">
        <v>250</v>
      </c>
    </row>
    <row r="235" spans="1:16" x14ac:dyDescent="0.25">
      <c r="A235" s="6">
        <v>6</v>
      </c>
      <c r="B235" s="7" t="s">
        <v>282</v>
      </c>
      <c r="C235" s="7">
        <v>3170</v>
      </c>
      <c r="D235" s="7">
        <v>1078.4690000000001</v>
      </c>
      <c r="E235" s="7">
        <v>3418748</v>
      </c>
      <c r="F235" s="7">
        <v>1058</v>
      </c>
      <c r="G235" s="7">
        <v>3418748</v>
      </c>
      <c r="H235" s="7">
        <v>395.41500000000002</v>
      </c>
      <c r="I235" s="3" t="s">
        <v>308</v>
      </c>
      <c r="J235" s="7" t="s">
        <v>34</v>
      </c>
      <c r="K235" s="8" t="s">
        <v>143</v>
      </c>
      <c r="L235" s="7">
        <f t="shared" si="28"/>
        <v>98.853750000000005</v>
      </c>
      <c r="M235" s="7" t="s">
        <v>41</v>
      </c>
      <c r="N235" s="7">
        <f t="shared" si="30"/>
        <v>125003.77230723388</v>
      </c>
      <c r="O235" s="7">
        <f t="shared" si="26"/>
        <v>1264.532426005426</v>
      </c>
      <c r="P235" s="16" t="s">
        <v>250</v>
      </c>
    </row>
    <row r="236" spans="1:16" x14ac:dyDescent="0.25">
      <c r="A236" s="6">
        <v>7</v>
      </c>
      <c r="B236" s="7" t="s">
        <v>283</v>
      </c>
      <c r="C236" s="7">
        <v>3670</v>
      </c>
      <c r="D236" s="7">
        <v>1088.3309999999999</v>
      </c>
      <c r="E236" s="7">
        <v>3994176</v>
      </c>
      <c r="F236" s="7">
        <v>1064</v>
      </c>
      <c r="G236" s="7">
        <v>3994176</v>
      </c>
      <c r="H236" s="7">
        <v>458.17</v>
      </c>
      <c r="I236" s="3" t="s">
        <v>309</v>
      </c>
      <c r="J236" s="7" t="s">
        <v>34</v>
      </c>
      <c r="K236" s="8" t="s">
        <v>143</v>
      </c>
      <c r="L236" s="7">
        <f t="shared" si="28"/>
        <v>114.5425</v>
      </c>
      <c r="M236" s="7" t="s">
        <v>41</v>
      </c>
      <c r="N236" s="7">
        <f t="shared" si="30"/>
        <v>180913.75532099372</v>
      </c>
      <c r="O236" s="7">
        <f t="shared" si="26"/>
        <v>1579.4465401138766</v>
      </c>
      <c r="P236" s="16" t="s">
        <v>250</v>
      </c>
    </row>
    <row r="237" spans="1:16" x14ac:dyDescent="0.25">
      <c r="A237" s="6">
        <v>8</v>
      </c>
      <c r="B237" s="7" t="s">
        <v>284</v>
      </c>
      <c r="C237" s="7">
        <v>3039</v>
      </c>
      <c r="D237" s="7">
        <v>1091.183</v>
      </c>
      <c r="E237" s="7">
        <v>3316106</v>
      </c>
      <c r="F237" s="7">
        <v>1072</v>
      </c>
      <c r="G237" s="7">
        <v>3316106</v>
      </c>
      <c r="H237" s="7">
        <v>379.19799999999998</v>
      </c>
      <c r="I237" s="3" t="s">
        <v>310</v>
      </c>
      <c r="J237" s="7" t="s">
        <v>34</v>
      </c>
      <c r="K237" s="8" t="s">
        <v>143</v>
      </c>
      <c r="L237" s="7">
        <f t="shared" si="28"/>
        <v>94.799499999999995</v>
      </c>
      <c r="M237" s="7" t="s">
        <v>41</v>
      </c>
      <c r="N237" s="7">
        <f t="shared" si="30"/>
        <v>158475.49275762914</v>
      </c>
      <c r="O237" s="7">
        <f t="shared" si="26"/>
        <v>1671.6912299920268</v>
      </c>
      <c r="P237" s="16" t="s">
        <v>250</v>
      </c>
    </row>
    <row r="238" spans="1:16" x14ac:dyDescent="0.25">
      <c r="A238" s="6">
        <v>9</v>
      </c>
      <c r="B238" s="7" t="s">
        <v>285</v>
      </c>
      <c r="C238" s="7">
        <v>3630</v>
      </c>
      <c r="D238" s="7">
        <v>1094.7190000000001</v>
      </c>
      <c r="E238" s="7">
        <v>3973831</v>
      </c>
      <c r="F238" s="7">
        <v>1065</v>
      </c>
      <c r="G238" s="7">
        <v>3973831</v>
      </c>
      <c r="H238" s="7">
        <v>453.30099999999999</v>
      </c>
      <c r="I238" s="3" t="s">
        <v>311</v>
      </c>
      <c r="J238" s="7" t="s">
        <v>34</v>
      </c>
      <c r="K238" s="8" t="s">
        <v>143</v>
      </c>
      <c r="L238" s="7">
        <f>H238/4</f>
        <v>113.32525</v>
      </c>
      <c r="M238" s="7" t="s">
        <v>41</v>
      </c>
      <c r="N238" s="7">
        <f t="shared" si="30"/>
        <v>202130.19667989248</v>
      </c>
      <c r="O238" s="7">
        <f>N238/L238</f>
        <v>1783.6289501226997</v>
      </c>
      <c r="P238" s="16" t="s">
        <v>250</v>
      </c>
    </row>
    <row r="239" spans="1:16" x14ac:dyDescent="0.25">
      <c r="A239" s="6">
        <v>10</v>
      </c>
      <c r="B239" s="7" t="s">
        <v>286</v>
      </c>
      <c r="C239" s="7">
        <v>3366</v>
      </c>
      <c r="D239" s="7">
        <v>1080.8209999999999</v>
      </c>
      <c r="E239" s="7">
        <v>3638043</v>
      </c>
      <c r="F239" s="7">
        <v>1059</v>
      </c>
      <c r="G239" s="7">
        <v>3638043</v>
      </c>
      <c r="H239" s="7">
        <v>421.66</v>
      </c>
      <c r="I239" s="3" t="s">
        <v>312</v>
      </c>
      <c r="J239" s="7" t="s">
        <v>34</v>
      </c>
      <c r="K239" s="8" t="s">
        <v>143</v>
      </c>
      <c r="L239" s="7">
        <f>H239/4</f>
        <v>105.41500000000001</v>
      </c>
      <c r="M239" s="7" t="s">
        <v>41</v>
      </c>
      <c r="N239" s="7">
        <f t="shared" si="30"/>
        <v>140647.70964862779</v>
      </c>
      <c r="O239" s="7">
        <f>N239/L239</f>
        <v>1334.2286168821115</v>
      </c>
      <c r="P239" s="16" t="s">
        <v>250</v>
      </c>
    </row>
    <row r="240" spans="1:16" x14ac:dyDescent="0.25">
      <c r="A240" s="6">
        <v>11</v>
      </c>
      <c r="B240" s="7" t="s">
        <v>287</v>
      </c>
      <c r="C240" s="7">
        <v>2341</v>
      </c>
      <c r="D240" s="7">
        <v>1039.133</v>
      </c>
      <c r="E240" s="7">
        <v>2432611</v>
      </c>
      <c r="F240" s="7">
        <v>1039</v>
      </c>
      <c r="G240" s="7">
        <v>2432611</v>
      </c>
      <c r="H240" s="7">
        <v>291.36900000000003</v>
      </c>
      <c r="I240" s="7" t="s">
        <v>23</v>
      </c>
      <c r="J240" s="7"/>
      <c r="K240" s="8" t="s">
        <v>143</v>
      </c>
      <c r="L240" s="7">
        <f t="shared" si="28"/>
        <v>72.842250000000007</v>
      </c>
      <c r="M240" s="7" t="s">
        <v>41</v>
      </c>
      <c r="N240" s="7"/>
      <c r="O240" s="7">
        <f t="shared" si="26"/>
        <v>0</v>
      </c>
      <c r="P240" s="16" t="s">
        <v>250</v>
      </c>
    </row>
    <row r="241" spans="1:16" x14ac:dyDescent="0.25">
      <c r="A241" s="6">
        <v>12</v>
      </c>
      <c r="B241" s="7" t="s">
        <v>288</v>
      </c>
      <c r="C241" s="7">
        <v>2407</v>
      </c>
      <c r="D241" s="7">
        <v>1040.69</v>
      </c>
      <c r="E241" s="7">
        <v>2504942</v>
      </c>
      <c r="F241" s="7">
        <v>1040</v>
      </c>
      <c r="G241" s="7">
        <v>2504942</v>
      </c>
      <c r="H241" s="7">
        <v>299.63799999999998</v>
      </c>
      <c r="I241" s="7" t="s">
        <v>23</v>
      </c>
      <c r="J241" s="7"/>
      <c r="K241" s="8" t="s">
        <v>143</v>
      </c>
      <c r="L241" s="7">
        <f t="shared" si="28"/>
        <v>74.909499999999994</v>
      </c>
      <c r="M241" s="7" t="s">
        <v>41</v>
      </c>
      <c r="N241" s="7"/>
      <c r="O241" s="7">
        <f t="shared" si="26"/>
        <v>0</v>
      </c>
      <c r="P241" s="16" t="s">
        <v>250</v>
      </c>
    </row>
    <row r="242" spans="1:16" x14ac:dyDescent="0.25">
      <c r="A242" s="10">
        <v>13</v>
      </c>
      <c r="B242" s="11" t="s">
        <v>289</v>
      </c>
      <c r="C242" s="11">
        <v>2286</v>
      </c>
      <c r="D242" s="11">
        <v>1037.2840000000001</v>
      </c>
      <c r="E242" s="11">
        <v>2371232</v>
      </c>
      <c r="F242" s="11">
        <v>1037</v>
      </c>
      <c r="G242" s="11">
        <v>2371232</v>
      </c>
      <c r="H242" s="11">
        <v>284.82100000000003</v>
      </c>
      <c r="I242" s="11" t="s">
        <v>23</v>
      </c>
      <c r="J242" s="11"/>
      <c r="K242" s="12" t="s">
        <v>143</v>
      </c>
      <c r="L242" s="11">
        <f t="shared" si="28"/>
        <v>71.205250000000007</v>
      </c>
      <c r="M242" s="11" t="s">
        <v>41</v>
      </c>
      <c r="N242" s="11"/>
      <c r="O242" s="11">
        <f t="shared" si="26"/>
        <v>0</v>
      </c>
      <c r="P242" s="18" t="s">
        <v>250</v>
      </c>
    </row>
    <row r="243" spans="1:16" x14ac:dyDescent="0.25">
      <c r="A243" s="6">
        <v>1</v>
      </c>
      <c r="B243" s="7" t="s">
        <v>290</v>
      </c>
      <c r="C243" s="7">
        <v>3369</v>
      </c>
      <c r="D243" s="7">
        <v>1078.9059999999999</v>
      </c>
      <c r="E243" s="7">
        <v>3634835</v>
      </c>
      <c r="F243" s="7">
        <v>1060</v>
      </c>
      <c r="G243" s="7">
        <v>3634835</v>
      </c>
      <c r="H243" s="7">
        <v>421.524</v>
      </c>
      <c r="I243" s="3" t="s">
        <v>313</v>
      </c>
      <c r="J243" s="7" t="s">
        <v>34</v>
      </c>
      <c r="K243" s="8" t="s">
        <v>143</v>
      </c>
      <c r="L243" s="7">
        <f>H243/4</f>
        <v>105.381</v>
      </c>
      <c r="M243" s="7" t="s">
        <v>42</v>
      </c>
      <c r="N243" s="7">
        <f t="shared" ref="N243:N252" si="31">G243-(((G$253/C$253*C243)+(G$254/C$254*C243)+(G$255/C$255*C243))/3)</f>
        <v>141076.55005447147</v>
      </c>
      <c r="O243" s="7">
        <f t="shared" si="26"/>
        <v>1338.7285189405252</v>
      </c>
      <c r="P243" s="16" t="s">
        <v>250</v>
      </c>
    </row>
    <row r="244" spans="1:16" x14ac:dyDescent="0.25">
      <c r="A244" s="6">
        <v>2</v>
      </c>
      <c r="B244" s="7" t="s">
        <v>291</v>
      </c>
      <c r="C244" s="7">
        <v>3086</v>
      </c>
      <c r="D244" s="7">
        <v>1075.46</v>
      </c>
      <c r="E244" s="7">
        <v>3318870</v>
      </c>
      <c r="F244" s="7">
        <v>1056</v>
      </c>
      <c r="G244" s="7">
        <v>3318870</v>
      </c>
      <c r="H244" s="7">
        <v>384.50200000000001</v>
      </c>
      <c r="I244" s="3" t="s">
        <v>314</v>
      </c>
      <c r="J244" s="7" t="s">
        <v>34</v>
      </c>
      <c r="K244" s="8" t="s">
        <v>143</v>
      </c>
      <c r="L244" s="7">
        <f>H244/4</f>
        <v>96.125500000000002</v>
      </c>
      <c r="M244" s="7" t="s">
        <v>42</v>
      </c>
      <c r="N244" s="7">
        <f t="shared" si="31"/>
        <v>118591.40797509626</v>
      </c>
      <c r="O244" s="7">
        <f t="shared" si="26"/>
        <v>1233.7143419290016</v>
      </c>
      <c r="P244" s="16" t="s">
        <v>250</v>
      </c>
    </row>
    <row r="245" spans="1:16" x14ac:dyDescent="0.25">
      <c r="A245" s="6">
        <v>3</v>
      </c>
      <c r="B245" s="7" t="s">
        <v>292</v>
      </c>
      <c r="C245" s="7">
        <v>3315</v>
      </c>
      <c r="D245" s="7">
        <v>1078.32</v>
      </c>
      <c r="E245" s="7">
        <v>3574632</v>
      </c>
      <c r="F245" s="7">
        <v>1059</v>
      </c>
      <c r="G245" s="7">
        <v>3574632</v>
      </c>
      <c r="H245" s="7">
        <v>413.488</v>
      </c>
      <c r="I245" s="3" t="s">
        <v>315</v>
      </c>
      <c r="J245" s="7" t="s">
        <v>34</v>
      </c>
      <c r="K245" s="8" t="s">
        <v>143</v>
      </c>
      <c r="L245" s="7">
        <f t="shared" ref="L245:L255" si="32">H245/4</f>
        <v>103.372</v>
      </c>
      <c r="M245" s="7" t="s">
        <v>42</v>
      </c>
      <c r="N245" s="7">
        <f t="shared" si="31"/>
        <v>136873.24025840685</v>
      </c>
      <c r="O245" s="7">
        <f t="shared" si="26"/>
        <v>1324.0842806408587</v>
      </c>
      <c r="P245" s="16" t="s">
        <v>250</v>
      </c>
    </row>
    <row r="246" spans="1:16" x14ac:dyDescent="0.25">
      <c r="A246" s="6">
        <v>4</v>
      </c>
      <c r="B246" s="7" t="s">
        <v>293</v>
      </c>
      <c r="C246" s="7">
        <v>3465</v>
      </c>
      <c r="D246" s="7">
        <v>1076.8989999999999</v>
      </c>
      <c r="E246" s="7">
        <v>3731454</v>
      </c>
      <c r="F246" s="7">
        <v>1059</v>
      </c>
      <c r="G246" s="7">
        <v>3731454</v>
      </c>
      <c r="H246" s="7">
        <v>433.19600000000003</v>
      </c>
      <c r="I246" s="3" t="s">
        <v>316</v>
      </c>
      <c r="J246" s="7" t="s">
        <v>34</v>
      </c>
      <c r="K246" s="8" t="s">
        <v>143</v>
      </c>
      <c r="L246" s="7">
        <f t="shared" si="32"/>
        <v>108.29900000000001</v>
      </c>
      <c r="M246" s="7" t="s">
        <v>42</v>
      </c>
      <c r="N246" s="7">
        <f t="shared" si="31"/>
        <v>138140.54524747515</v>
      </c>
      <c r="O246" s="7">
        <f t="shared" si="26"/>
        <v>1275.5477451082202</v>
      </c>
      <c r="P246" s="16" t="s">
        <v>250</v>
      </c>
    </row>
    <row r="247" spans="1:16" x14ac:dyDescent="0.25">
      <c r="A247" s="6">
        <v>5</v>
      </c>
      <c r="B247" s="7" t="s">
        <v>294</v>
      </c>
      <c r="C247" s="7">
        <v>3485</v>
      </c>
      <c r="D247" s="7">
        <v>1111.903</v>
      </c>
      <c r="E247" s="7">
        <v>3874981</v>
      </c>
      <c r="F247" s="7">
        <v>1070</v>
      </c>
      <c r="G247" s="7">
        <v>3874981</v>
      </c>
      <c r="H247" s="7">
        <v>434.89499999999998</v>
      </c>
      <c r="I247" s="3" t="s">
        <v>317</v>
      </c>
      <c r="J247" s="7" t="s">
        <v>34</v>
      </c>
      <c r="K247" s="8" t="s">
        <v>143</v>
      </c>
      <c r="L247" s="7">
        <f t="shared" si="32"/>
        <v>108.72375</v>
      </c>
      <c r="M247" s="7" t="s">
        <v>42</v>
      </c>
      <c r="N247" s="7">
        <f t="shared" si="31"/>
        <v>260926.91924601793</v>
      </c>
      <c r="O247" s="7">
        <f t="shared" si="26"/>
        <v>2399.9072810312186</v>
      </c>
      <c r="P247" s="16" t="s">
        <v>250</v>
      </c>
    </row>
    <row r="248" spans="1:16" x14ac:dyDescent="0.25">
      <c r="A248" s="6">
        <v>6</v>
      </c>
      <c r="B248" s="7" t="s">
        <v>295</v>
      </c>
      <c r="C248" s="7">
        <v>3737</v>
      </c>
      <c r="D248" s="7">
        <v>1091.8599999999999</v>
      </c>
      <c r="E248" s="7">
        <v>4080280</v>
      </c>
      <c r="F248" s="7">
        <v>1066</v>
      </c>
      <c r="G248" s="7">
        <v>4080280</v>
      </c>
      <c r="H248" s="7">
        <v>466.89100000000002</v>
      </c>
      <c r="I248" s="3" t="s">
        <v>318</v>
      </c>
      <c r="J248" s="7" t="s">
        <v>34</v>
      </c>
      <c r="K248" s="8" t="s">
        <v>143</v>
      </c>
      <c r="L248" s="7">
        <f t="shared" si="32"/>
        <v>116.72275</v>
      </c>
      <c r="M248" s="7" t="s">
        <v>42</v>
      </c>
      <c r="N248" s="7">
        <f t="shared" si="31"/>
        <v>204894.03162765177</v>
      </c>
      <c r="O248" s="7">
        <f t="shared" si="26"/>
        <v>1755.3907154145336</v>
      </c>
      <c r="P248" s="16" t="s">
        <v>250</v>
      </c>
    </row>
    <row r="249" spans="1:16" x14ac:dyDescent="0.25">
      <c r="A249" s="6">
        <v>7</v>
      </c>
      <c r="B249" s="7" t="s">
        <v>296</v>
      </c>
      <c r="C249" s="7">
        <v>3327</v>
      </c>
      <c r="D249" s="7">
        <v>1067.9449999999999</v>
      </c>
      <c r="E249" s="7">
        <v>3553052</v>
      </c>
      <c r="F249" s="7">
        <v>1055</v>
      </c>
      <c r="G249" s="7">
        <v>3553052</v>
      </c>
      <c r="H249" s="7">
        <v>416.25400000000002</v>
      </c>
      <c r="I249" s="3" t="s">
        <v>319</v>
      </c>
      <c r="J249" s="7" t="s">
        <v>34</v>
      </c>
      <c r="K249" s="8" t="s">
        <v>143</v>
      </c>
      <c r="L249" s="7">
        <f t="shared" si="32"/>
        <v>104.0635</v>
      </c>
      <c r="M249" s="7" t="s">
        <v>42</v>
      </c>
      <c r="N249" s="7">
        <f t="shared" si="31"/>
        <v>102848.86465753242</v>
      </c>
      <c r="O249" s="7">
        <f t="shared" si="26"/>
        <v>988.32794070478519</v>
      </c>
      <c r="P249" s="16" t="s">
        <v>250</v>
      </c>
    </row>
    <row r="250" spans="1:16" x14ac:dyDescent="0.25">
      <c r="A250" s="6">
        <v>8</v>
      </c>
      <c r="B250" s="7" t="s">
        <v>297</v>
      </c>
      <c r="C250" s="7">
        <v>3092</v>
      </c>
      <c r="D250" s="7">
        <v>1062.02</v>
      </c>
      <c r="E250" s="7">
        <v>3283765</v>
      </c>
      <c r="F250" s="7">
        <v>1052</v>
      </c>
      <c r="G250" s="7">
        <v>3283765</v>
      </c>
      <c r="H250" s="7">
        <v>391.80599999999998</v>
      </c>
      <c r="I250" s="3" t="s">
        <v>320</v>
      </c>
      <c r="J250" s="7" t="s">
        <v>34</v>
      </c>
      <c r="K250" s="8" t="s">
        <v>143</v>
      </c>
      <c r="L250" s="7">
        <f t="shared" si="32"/>
        <v>97.951499999999996</v>
      </c>
      <c r="M250" s="7" t="s">
        <v>42</v>
      </c>
      <c r="N250" s="7">
        <f t="shared" si="31"/>
        <v>77264.220174659044</v>
      </c>
      <c r="O250" s="7">
        <f t="shared" si="26"/>
        <v>788.80078584461751</v>
      </c>
      <c r="P250" s="16" t="s">
        <v>250</v>
      </c>
    </row>
    <row r="251" spans="1:16" x14ac:dyDescent="0.25">
      <c r="A251" s="6">
        <v>9</v>
      </c>
      <c r="B251" s="7" t="s">
        <v>298</v>
      </c>
      <c r="C251" s="7">
        <v>3859</v>
      </c>
      <c r="D251" s="7">
        <v>1077.366</v>
      </c>
      <c r="E251" s="7">
        <v>4157556</v>
      </c>
      <c r="F251" s="7">
        <v>1061</v>
      </c>
      <c r="G251" s="7">
        <v>4157556</v>
      </c>
      <c r="H251" s="7">
        <v>481.35500000000002</v>
      </c>
      <c r="I251" s="3" t="s">
        <v>321</v>
      </c>
      <c r="J251" s="7" t="s">
        <v>34</v>
      </c>
      <c r="K251" s="8" t="s">
        <v>143</v>
      </c>
      <c r="L251" s="7">
        <f>H251/4</f>
        <v>120.33875</v>
      </c>
      <c r="M251" s="7" t="s">
        <v>42</v>
      </c>
      <c r="N251" s="7">
        <f t="shared" si="31"/>
        <v>155652.21301876148</v>
      </c>
      <c r="O251" s="7">
        <f>N251/L251</f>
        <v>1293.450472260693</v>
      </c>
      <c r="P251" s="16" t="s">
        <v>250</v>
      </c>
    </row>
    <row r="252" spans="1:16" x14ac:dyDescent="0.25">
      <c r="A252" s="6">
        <v>10</v>
      </c>
      <c r="B252" s="7" t="s">
        <v>299</v>
      </c>
      <c r="C252" s="7">
        <v>3728</v>
      </c>
      <c r="D252" s="7">
        <v>1078.77</v>
      </c>
      <c r="E252" s="7">
        <v>4021656</v>
      </c>
      <c r="F252" s="7">
        <v>1061</v>
      </c>
      <c r="G252" s="7">
        <v>4021656</v>
      </c>
      <c r="H252" s="7">
        <v>465.01499999999999</v>
      </c>
      <c r="I252" s="3" t="s">
        <v>322</v>
      </c>
      <c r="J252" s="7" t="s">
        <v>34</v>
      </c>
      <c r="K252" s="8" t="s">
        <v>143</v>
      </c>
      <c r="L252" s="7">
        <f>H252/4</f>
        <v>116.25375</v>
      </c>
      <c r="M252" s="7" t="s">
        <v>42</v>
      </c>
      <c r="N252" s="7">
        <f t="shared" si="31"/>
        <v>155603.31332830852</v>
      </c>
      <c r="O252" s="7">
        <f>N252/L252</f>
        <v>1338.4799486322679</v>
      </c>
      <c r="P252" s="16" t="s">
        <v>250</v>
      </c>
    </row>
    <row r="253" spans="1:16" x14ac:dyDescent="0.25">
      <c r="A253" s="6">
        <v>11</v>
      </c>
      <c r="B253" s="7" t="s">
        <v>300</v>
      </c>
      <c r="C253" s="7">
        <v>2916</v>
      </c>
      <c r="D253" s="7">
        <v>1039.9169999999999</v>
      </c>
      <c r="E253" s="7">
        <v>3032399</v>
      </c>
      <c r="F253" s="7">
        <v>1040</v>
      </c>
      <c r="G253" s="7">
        <v>3032399</v>
      </c>
      <c r="H253" s="7">
        <v>363.291</v>
      </c>
      <c r="I253" s="7" t="s">
        <v>23</v>
      </c>
      <c r="J253" s="7"/>
      <c r="K253" s="8" t="s">
        <v>143</v>
      </c>
      <c r="L253" s="7">
        <f t="shared" si="32"/>
        <v>90.822749999999999</v>
      </c>
      <c r="M253" s="7" t="s">
        <v>42</v>
      </c>
      <c r="N253" s="7"/>
      <c r="O253" s="7">
        <f t="shared" si="26"/>
        <v>0</v>
      </c>
      <c r="P253" s="16" t="s">
        <v>250</v>
      </c>
    </row>
    <row r="254" spans="1:16" x14ac:dyDescent="0.25">
      <c r="A254" s="6">
        <v>12</v>
      </c>
      <c r="B254" s="7" t="s">
        <v>301</v>
      </c>
      <c r="C254" s="7">
        <v>3176</v>
      </c>
      <c r="D254" s="7">
        <v>1034.663</v>
      </c>
      <c r="E254" s="7">
        <v>3286089</v>
      </c>
      <c r="F254" s="7">
        <v>1035</v>
      </c>
      <c r="G254" s="7">
        <v>3286089</v>
      </c>
      <c r="H254" s="7">
        <v>396.25599999999997</v>
      </c>
      <c r="I254" s="7" t="s">
        <v>23</v>
      </c>
      <c r="J254" s="7"/>
      <c r="K254" s="8" t="s">
        <v>143</v>
      </c>
      <c r="L254" s="7">
        <f t="shared" si="32"/>
        <v>99.063999999999993</v>
      </c>
      <c r="M254" s="7" t="s">
        <v>42</v>
      </c>
      <c r="N254" s="7"/>
      <c r="O254" s="7">
        <f t="shared" si="26"/>
        <v>0</v>
      </c>
      <c r="P254" s="16" t="s">
        <v>250</v>
      </c>
    </row>
    <row r="255" spans="1:16" x14ac:dyDescent="0.25">
      <c r="A255" s="10">
        <v>13</v>
      </c>
      <c r="B255" s="11" t="s">
        <v>302</v>
      </c>
      <c r="C255" s="11">
        <v>3233</v>
      </c>
      <c r="D255" s="11">
        <v>1036.5139999999999</v>
      </c>
      <c r="E255" s="11">
        <v>3351049</v>
      </c>
      <c r="F255" s="11">
        <v>1036</v>
      </c>
      <c r="G255" s="11">
        <v>3351049</v>
      </c>
      <c r="H255" s="11">
        <v>403.53899999999999</v>
      </c>
      <c r="I255" s="7" t="s">
        <v>23</v>
      </c>
      <c r="J255" s="11"/>
      <c r="K255" s="12" t="s">
        <v>143</v>
      </c>
      <c r="L255" s="11">
        <f t="shared" si="32"/>
        <v>100.88475</v>
      </c>
      <c r="M255" s="11"/>
      <c r="N255" s="11"/>
      <c r="O255" s="11">
        <f t="shared" si="26"/>
        <v>0</v>
      </c>
      <c r="P255" s="18" t="s">
        <v>250</v>
      </c>
    </row>
  </sheetData>
  <phoneticPr fontId="1" type="noConversion"/>
  <conditionalFormatting sqref="O2:O2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5:O4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8:O255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2024-10-02T09:25:19Z</dcterms:modified>
</cp:coreProperties>
</file>