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05" yWindow="-105" windowWidth="20715" windowHeight="1327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74" i="1" l="1"/>
  <c r="O74" i="1" l="1"/>
  <c r="L74" i="1"/>
  <c r="N68" i="1" l="1"/>
  <c r="N156" i="1" l="1"/>
  <c r="N112" i="1"/>
  <c r="N26" i="1"/>
  <c r="N25" i="1"/>
  <c r="N24" i="1"/>
  <c r="N170" i="1" l="1"/>
  <c r="N169" i="1"/>
  <c r="N168" i="1"/>
  <c r="N167" i="1"/>
  <c r="N135" i="1"/>
  <c r="N134" i="1"/>
  <c r="N14" i="1" l="1"/>
  <c r="N15" i="1"/>
  <c r="N16" i="1"/>
  <c r="N17" i="1"/>
  <c r="N18" i="1"/>
  <c r="N19" i="1"/>
  <c r="N20" i="1"/>
  <c r="N13" i="1"/>
  <c r="N27" i="1"/>
  <c r="N28" i="1"/>
  <c r="N29" i="1"/>
  <c r="N30" i="1"/>
  <c r="N31" i="1"/>
  <c r="N36" i="1"/>
  <c r="N37" i="1"/>
  <c r="N38" i="1"/>
  <c r="N39" i="1"/>
  <c r="N40" i="1"/>
  <c r="N41" i="1"/>
  <c r="N42" i="1"/>
  <c r="N35" i="1"/>
  <c r="N47" i="1"/>
  <c r="N48" i="1"/>
  <c r="N49" i="1"/>
  <c r="N50" i="1"/>
  <c r="N51" i="1"/>
  <c r="N52" i="1"/>
  <c r="N53" i="1"/>
  <c r="N46" i="1"/>
  <c r="N58" i="1"/>
  <c r="N59" i="1"/>
  <c r="N60" i="1"/>
  <c r="N61" i="1"/>
  <c r="N62" i="1"/>
  <c r="N63" i="1"/>
  <c r="N64" i="1"/>
  <c r="N57" i="1"/>
  <c r="N69" i="1"/>
  <c r="N70" i="1"/>
  <c r="N71" i="1"/>
  <c r="N72" i="1"/>
  <c r="N73" i="1"/>
  <c r="N75" i="1"/>
  <c r="N172" i="1" l="1"/>
  <c r="N171" i="1"/>
  <c r="N157" i="1"/>
  <c r="L34" i="1"/>
  <c r="N4" i="1"/>
  <c r="N3" i="1"/>
  <c r="N2" i="1"/>
  <c r="L133" i="1" l="1"/>
  <c r="L134" i="1"/>
  <c r="L135" i="1"/>
  <c r="L136" i="1"/>
  <c r="L137" i="1"/>
  <c r="L138" i="1"/>
  <c r="L139" i="1"/>
  <c r="L140" i="1"/>
  <c r="L141" i="1"/>
  <c r="L142" i="1"/>
  <c r="L143" i="1"/>
  <c r="O143" i="1" s="1"/>
  <c r="L144" i="1"/>
  <c r="O144" i="1" s="1"/>
  <c r="L145" i="1"/>
  <c r="L146" i="1"/>
  <c r="L147" i="1"/>
  <c r="L148" i="1"/>
  <c r="L149" i="1"/>
  <c r="L150" i="1"/>
  <c r="L151" i="1"/>
  <c r="L152" i="1"/>
  <c r="L153" i="1"/>
  <c r="O153" i="1" s="1"/>
  <c r="L154" i="1"/>
  <c r="L155" i="1"/>
  <c r="O155" i="1" s="1"/>
  <c r="L156" i="1"/>
  <c r="L157" i="1"/>
  <c r="L158" i="1"/>
  <c r="L159" i="1"/>
  <c r="L160" i="1"/>
  <c r="L161" i="1"/>
  <c r="L162" i="1"/>
  <c r="L163" i="1"/>
  <c r="L164" i="1"/>
  <c r="O164" i="1" s="1"/>
  <c r="L165" i="1"/>
  <c r="O165" i="1" s="1"/>
  <c r="L166" i="1"/>
  <c r="L167" i="1"/>
  <c r="L168" i="1"/>
  <c r="L169" i="1"/>
  <c r="O169" i="1" s="1"/>
  <c r="L170" i="1"/>
  <c r="O170" i="1" s="1"/>
  <c r="L171" i="1"/>
  <c r="L172" i="1"/>
  <c r="L173" i="1"/>
  <c r="L174" i="1"/>
  <c r="L175" i="1"/>
  <c r="O175" i="1" s="1"/>
  <c r="L176" i="1"/>
  <c r="O176" i="1" s="1"/>
  <c r="L177" i="1"/>
  <c r="O177" i="1" s="1"/>
  <c r="O142" i="1"/>
  <c r="O154" i="1"/>
  <c r="O166" i="1"/>
  <c r="O157" i="1"/>
  <c r="N158" i="1"/>
  <c r="O158" i="1" s="1"/>
  <c r="N159" i="1"/>
  <c r="N160" i="1"/>
  <c r="N161" i="1"/>
  <c r="O161" i="1" s="1"/>
  <c r="N162" i="1"/>
  <c r="O162" i="1" s="1"/>
  <c r="N163" i="1"/>
  <c r="N173" i="1"/>
  <c r="O173" i="1" s="1"/>
  <c r="N174" i="1"/>
  <c r="N141" i="1"/>
  <c r="O141" i="1" s="1"/>
  <c r="N140" i="1"/>
  <c r="N139" i="1"/>
  <c r="N138" i="1"/>
  <c r="O138" i="1" s="1"/>
  <c r="N137" i="1"/>
  <c r="O137" i="1" s="1"/>
  <c r="N136" i="1"/>
  <c r="O134" i="1"/>
  <c r="N149" i="1"/>
  <c r="O149" i="1" s="1"/>
  <c r="N148" i="1"/>
  <c r="N147" i="1"/>
  <c r="N146" i="1"/>
  <c r="O146" i="1" s="1"/>
  <c r="N145" i="1"/>
  <c r="O145" i="1" s="1"/>
  <c r="N150" i="1"/>
  <c r="O150" i="1" s="1"/>
  <c r="N151" i="1"/>
  <c r="N152" i="1"/>
  <c r="O174" i="1" l="1"/>
  <c r="O135" i="1"/>
  <c r="O172" i="1"/>
  <c r="O168" i="1"/>
  <c r="O160" i="1"/>
  <c r="O156" i="1"/>
  <c r="O152" i="1"/>
  <c r="O148" i="1"/>
  <c r="O140" i="1"/>
  <c r="O136" i="1"/>
  <c r="O171" i="1"/>
  <c r="O167" i="1"/>
  <c r="O163" i="1"/>
  <c r="O159" i="1"/>
  <c r="O151" i="1"/>
  <c r="O147" i="1"/>
  <c r="O139" i="1"/>
  <c r="N106" i="1"/>
  <c r="N105" i="1"/>
  <c r="N104" i="1"/>
  <c r="N103" i="1"/>
  <c r="N102" i="1"/>
  <c r="N101" i="1"/>
  <c r="N94" i="1"/>
  <c r="N93" i="1"/>
  <c r="N92" i="1"/>
  <c r="N91" i="1"/>
  <c r="N90" i="1"/>
  <c r="N86" i="1"/>
  <c r="N85" i="1"/>
  <c r="N84" i="1"/>
  <c r="N83" i="1"/>
  <c r="N82" i="1"/>
  <c r="N81" i="1"/>
  <c r="N80" i="1"/>
  <c r="N79" i="1"/>
  <c r="O41" i="1"/>
  <c r="L37" i="1"/>
  <c r="L38" i="1"/>
  <c r="L39" i="1"/>
  <c r="L40" i="1"/>
  <c r="L41" i="1"/>
  <c r="L42" i="1"/>
  <c r="L43" i="1"/>
  <c r="O43" i="1" s="1"/>
  <c r="L44" i="1"/>
  <c r="O44" i="1" s="1"/>
  <c r="L45" i="1"/>
  <c r="O45" i="1" s="1"/>
  <c r="L46" i="1"/>
  <c r="L47" i="1"/>
  <c r="L48" i="1"/>
  <c r="L49" i="1"/>
  <c r="L50" i="1"/>
  <c r="L51" i="1"/>
  <c r="L52" i="1"/>
  <c r="L53" i="1"/>
  <c r="L54" i="1"/>
  <c r="O54" i="1" s="1"/>
  <c r="L55" i="1"/>
  <c r="O55" i="1" s="1"/>
  <c r="L56" i="1"/>
  <c r="O56" i="1" s="1"/>
  <c r="L57" i="1"/>
  <c r="L58" i="1"/>
  <c r="L59" i="1"/>
  <c r="L60" i="1"/>
  <c r="L61" i="1"/>
  <c r="L62" i="1"/>
  <c r="L63" i="1"/>
  <c r="L64" i="1"/>
  <c r="L65" i="1"/>
  <c r="O65" i="1" s="1"/>
  <c r="L66" i="1"/>
  <c r="O66" i="1" s="1"/>
  <c r="L67" i="1"/>
  <c r="O67" i="1" s="1"/>
  <c r="L68" i="1"/>
  <c r="L69" i="1"/>
  <c r="L70" i="1"/>
  <c r="L71" i="1"/>
  <c r="L72" i="1"/>
  <c r="L73" i="1"/>
  <c r="L75" i="1"/>
  <c r="L76" i="1"/>
  <c r="O76" i="1" s="1"/>
  <c r="L77" i="1"/>
  <c r="O77" i="1" s="1"/>
  <c r="L78" i="1"/>
  <c r="O78" i="1" s="1"/>
  <c r="L79" i="1"/>
  <c r="L80" i="1"/>
  <c r="L81" i="1"/>
  <c r="L82" i="1"/>
  <c r="L83" i="1"/>
  <c r="L84" i="1"/>
  <c r="L85" i="1"/>
  <c r="L86" i="1"/>
  <c r="L87" i="1"/>
  <c r="O87" i="1" s="1"/>
  <c r="L88" i="1"/>
  <c r="O88" i="1" s="1"/>
  <c r="L89" i="1"/>
  <c r="O89" i="1" s="1"/>
  <c r="L90" i="1"/>
  <c r="L91" i="1"/>
  <c r="L92" i="1"/>
  <c r="L93" i="1"/>
  <c r="L94" i="1"/>
  <c r="L95" i="1"/>
  <c r="L96" i="1"/>
  <c r="L97" i="1"/>
  <c r="L98" i="1"/>
  <c r="O98" i="1" s="1"/>
  <c r="L99" i="1"/>
  <c r="O99" i="1" s="1"/>
  <c r="L100" i="1"/>
  <c r="O100" i="1" s="1"/>
  <c r="L101" i="1"/>
  <c r="L102" i="1"/>
  <c r="L103" i="1"/>
  <c r="L104" i="1"/>
  <c r="L105" i="1"/>
  <c r="L106" i="1"/>
  <c r="L107" i="1"/>
  <c r="L108" i="1"/>
  <c r="L109" i="1"/>
  <c r="O109" i="1" s="1"/>
  <c r="L110" i="1"/>
  <c r="O110" i="1" s="1"/>
  <c r="L111" i="1"/>
  <c r="O111" i="1" s="1"/>
  <c r="L112" i="1"/>
  <c r="L113" i="1"/>
  <c r="L114" i="1"/>
  <c r="L115" i="1"/>
  <c r="L116" i="1"/>
  <c r="L117" i="1"/>
  <c r="L118" i="1"/>
  <c r="L119" i="1"/>
  <c r="L120" i="1"/>
  <c r="O120" i="1" s="1"/>
  <c r="L121" i="1"/>
  <c r="O121" i="1" s="1"/>
  <c r="L122" i="1"/>
  <c r="O122" i="1" s="1"/>
  <c r="L123" i="1"/>
  <c r="L124" i="1"/>
  <c r="L125" i="1"/>
  <c r="L126" i="1"/>
  <c r="L127" i="1"/>
  <c r="L128" i="1"/>
  <c r="L129" i="1"/>
  <c r="L130" i="1"/>
  <c r="L131" i="1"/>
  <c r="O131" i="1" s="1"/>
  <c r="L132" i="1"/>
  <c r="O132" i="1" s="1"/>
  <c r="O133" i="1"/>
  <c r="O68" i="1" l="1"/>
  <c r="O47" i="1"/>
  <c r="O39" i="1"/>
  <c r="O69" i="1"/>
  <c r="O37" i="1"/>
  <c r="O40" i="1"/>
  <c r="O57" i="1"/>
  <c r="O42" i="1"/>
  <c r="O38" i="1"/>
  <c r="O48" i="1"/>
  <c r="O46" i="1"/>
  <c r="N114" i="1"/>
  <c r="O114" i="1" s="1"/>
  <c r="N113" i="1"/>
  <c r="O113" i="1" s="1"/>
  <c r="O112" i="1"/>
  <c r="O71" i="1"/>
  <c r="O70" i="1"/>
  <c r="O62" i="1"/>
  <c r="O61" i="1"/>
  <c r="O60" i="1"/>
  <c r="O59" i="1"/>
  <c r="O58" i="1"/>
  <c r="O49" i="1"/>
  <c r="N6" i="1" l="1"/>
  <c r="N5" i="1"/>
  <c r="O93" i="1" l="1"/>
  <c r="O92" i="1"/>
  <c r="O91" i="1"/>
  <c r="O94" i="1"/>
  <c r="N95" i="1"/>
  <c r="O95" i="1" s="1"/>
  <c r="N96" i="1"/>
  <c r="O96" i="1" s="1"/>
  <c r="N97" i="1"/>
  <c r="O97" i="1" s="1"/>
  <c r="N9" i="1"/>
  <c r="N8" i="1"/>
  <c r="N7" i="1"/>
  <c r="L2" i="1"/>
  <c r="O2" i="1" s="1"/>
  <c r="L3" i="1"/>
  <c r="O3" i="1" s="1"/>
  <c r="L4" i="1"/>
  <c r="O4" i="1" s="1"/>
  <c r="L5" i="1"/>
  <c r="O5" i="1" s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5" i="1"/>
  <c r="O35" i="1" s="1"/>
  <c r="L36" i="1"/>
  <c r="O36" i="1" s="1"/>
  <c r="N130" i="1" l="1"/>
  <c r="O130" i="1" s="1"/>
  <c r="O75" i="1"/>
  <c r="N127" i="1"/>
  <c r="O127" i="1" s="1"/>
  <c r="N126" i="1"/>
  <c r="O126" i="1" s="1"/>
  <c r="N125" i="1"/>
  <c r="O125" i="1" s="1"/>
  <c r="N124" i="1"/>
  <c r="O124" i="1" s="1"/>
  <c r="N115" i="1"/>
  <c r="O115" i="1" s="1"/>
  <c r="N116" i="1"/>
  <c r="O116" i="1" s="1"/>
  <c r="N117" i="1"/>
  <c r="O117" i="1" s="1"/>
  <c r="N118" i="1"/>
  <c r="O118" i="1" s="1"/>
  <c r="N119" i="1"/>
  <c r="O119" i="1" s="1"/>
  <c r="O102" i="1"/>
  <c r="O103" i="1"/>
  <c r="O104" i="1"/>
  <c r="O105" i="1"/>
  <c r="O106" i="1"/>
  <c r="N107" i="1"/>
  <c r="O107" i="1" s="1"/>
  <c r="N108" i="1"/>
  <c r="O108" i="1" s="1"/>
  <c r="O101" i="1"/>
  <c r="O85" i="1"/>
  <c r="O84" i="1"/>
  <c r="O82" i="1"/>
  <c r="O81" i="1"/>
  <c r="O10" i="1"/>
  <c r="O11" i="1"/>
  <c r="O12" i="1"/>
  <c r="O14" i="1" l="1"/>
  <c r="O20" i="1"/>
  <c r="O17" i="1"/>
  <c r="O18" i="1"/>
  <c r="O16" i="1"/>
  <c r="O15" i="1"/>
  <c r="O19" i="1"/>
  <c r="O6" i="1"/>
  <c r="O8" i="1"/>
  <c r="O9" i="1"/>
  <c r="O7" i="1"/>
  <c r="O83" i="1"/>
  <c r="O26" i="1" l="1"/>
  <c r="O51" i="1"/>
  <c r="N129" i="1"/>
  <c r="O129" i="1" s="1"/>
  <c r="O90" i="1" l="1"/>
  <c r="O79" i="1"/>
  <c r="N128" i="1" l="1"/>
  <c r="O128" i="1" s="1"/>
  <c r="N123" i="1"/>
  <c r="O123" i="1" s="1"/>
  <c r="O86" i="1"/>
  <c r="O80" i="1"/>
  <c r="O64" i="1"/>
  <c r="O72" i="1"/>
  <c r="O73" i="1"/>
  <c r="O63" i="1"/>
  <c r="O50" i="1"/>
  <c r="O52" i="1"/>
  <c r="O53" i="1"/>
  <c r="O27" i="1"/>
  <c r="O21" i="1"/>
  <c r="O22" i="1"/>
  <c r="O23" i="1"/>
  <c r="O24" i="1"/>
  <c r="O25" i="1"/>
  <c r="O31" i="1"/>
  <c r="O32" i="1"/>
  <c r="O33" i="1"/>
  <c r="O34" i="1"/>
  <c r="O28" i="1" l="1"/>
  <c r="O30" i="1"/>
  <c r="O29" i="1"/>
  <c r="O13" i="1"/>
</calcChain>
</file>

<file path=xl/sharedStrings.xml><?xml version="1.0" encoding="utf-8"?>
<sst xmlns="http://schemas.openxmlformats.org/spreadsheetml/2006/main" count="847" uniqueCount="341">
  <si>
    <t>plate</t>
  </si>
  <si>
    <t>area</t>
  </si>
  <si>
    <t>mean</t>
  </si>
  <si>
    <t>IntDen</t>
  </si>
  <si>
    <t>median</t>
  </si>
  <si>
    <t>RawIntDen</t>
  </si>
  <si>
    <t>length</t>
  </si>
  <si>
    <t>seedling</t>
  </si>
  <si>
    <t>genotype</t>
  </si>
  <si>
    <t>KNO3</t>
  </si>
  <si>
    <t>length_mm</t>
  </si>
  <si>
    <t>RawIntDen-norm_bckg</t>
  </si>
  <si>
    <t>RawIntDen_normBackg_normLen</t>
  </si>
  <si>
    <t>PLATE</t>
  </si>
  <si>
    <t>plate1</t>
  </si>
  <si>
    <t>plate2</t>
  </si>
  <si>
    <t>plate3</t>
  </si>
  <si>
    <t>plate4</t>
  </si>
  <si>
    <t>number</t>
  </si>
  <si>
    <t>plate5</t>
  </si>
  <si>
    <t>plate6</t>
  </si>
  <si>
    <t>plate7</t>
  </si>
  <si>
    <t>plate8</t>
  </si>
  <si>
    <t>plate9</t>
  </si>
  <si>
    <t>plate10</t>
  </si>
  <si>
    <t>plate11</t>
  </si>
  <si>
    <t>plate12</t>
  </si>
  <si>
    <t>pNRT2.1:LUC</t>
  </si>
  <si>
    <t>seedling1</t>
  </si>
  <si>
    <t>seedling2</t>
  </si>
  <si>
    <t>seedling3</t>
  </si>
  <si>
    <t>seedling4</t>
  </si>
  <si>
    <t>seedling5</t>
  </si>
  <si>
    <t>seedling6</t>
  </si>
  <si>
    <t>seedling7</t>
  </si>
  <si>
    <t>seedling8</t>
  </si>
  <si>
    <t>seedling9</t>
  </si>
  <si>
    <t>seedling10</t>
  </si>
  <si>
    <t>seedling11</t>
  </si>
  <si>
    <t>seedling12</t>
  </si>
  <si>
    <t>seedling13</t>
  </si>
  <si>
    <t>seedling14</t>
  </si>
  <si>
    <t>seedling15</t>
  </si>
  <si>
    <t>seedling16</t>
  </si>
  <si>
    <t>seedling17</t>
  </si>
  <si>
    <t>seedling27</t>
  </si>
  <si>
    <t>seedling37</t>
  </si>
  <si>
    <t>seedling47</t>
  </si>
  <si>
    <t>seedling57</t>
  </si>
  <si>
    <t>seedling67</t>
  </si>
  <si>
    <t>seedling77</t>
  </si>
  <si>
    <t>seedling87</t>
  </si>
  <si>
    <t>seedling18</t>
  </si>
  <si>
    <t>seedling19</t>
  </si>
  <si>
    <t>seedling20</t>
  </si>
  <si>
    <t>seedling21</t>
  </si>
  <si>
    <t>seedling22</t>
  </si>
  <si>
    <t>seedling23</t>
  </si>
  <si>
    <t>seedling24</t>
  </si>
  <si>
    <t>seedling25</t>
  </si>
  <si>
    <t>seedling26</t>
  </si>
  <si>
    <t>seedling28</t>
  </si>
  <si>
    <t>seedling29</t>
  </si>
  <si>
    <t>seedling30</t>
  </si>
  <si>
    <t>seedling31</t>
  </si>
  <si>
    <t>seedling32</t>
  </si>
  <si>
    <t>seedling33</t>
  </si>
  <si>
    <t>seedling34</t>
  </si>
  <si>
    <t>seedling35</t>
  </si>
  <si>
    <t>seedling36</t>
  </si>
  <si>
    <t>seedling38</t>
  </si>
  <si>
    <t>seedling39</t>
  </si>
  <si>
    <t>seedling40</t>
  </si>
  <si>
    <t>seedling41</t>
  </si>
  <si>
    <t>seedling42</t>
  </si>
  <si>
    <t>seedling43</t>
  </si>
  <si>
    <t>seedling44</t>
  </si>
  <si>
    <t>seedling45</t>
  </si>
  <si>
    <t>seedling46</t>
  </si>
  <si>
    <t>seedling48</t>
  </si>
  <si>
    <t>seedling49</t>
  </si>
  <si>
    <t>seedling50</t>
  </si>
  <si>
    <t>seedling51</t>
  </si>
  <si>
    <t>seedling52</t>
  </si>
  <si>
    <t>seedling53</t>
  </si>
  <si>
    <t>seedling54</t>
  </si>
  <si>
    <t>seedling55</t>
  </si>
  <si>
    <t>seedling56</t>
  </si>
  <si>
    <t>seedling58</t>
  </si>
  <si>
    <t>seedling59</t>
  </si>
  <si>
    <t>seedling60</t>
  </si>
  <si>
    <t>seedling61</t>
  </si>
  <si>
    <t>seedling62</t>
  </si>
  <si>
    <t>seedling63</t>
  </si>
  <si>
    <t>seedling64</t>
  </si>
  <si>
    <t>seedling65</t>
  </si>
  <si>
    <t>seedling66</t>
  </si>
  <si>
    <t>seedling68</t>
  </si>
  <si>
    <t>seedling69</t>
  </si>
  <si>
    <t>seedling70</t>
  </si>
  <si>
    <t>seedling71</t>
  </si>
  <si>
    <t>seedling72</t>
  </si>
  <si>
    <t>seedling73</t>
  </si>
  <si>
    <t>seedling74</t>
  </si>
  <si>
    <t>seedling75</t>
  </si>
  <si>
    <t>seedling76</t>
  </si>
  <si>
    <t>seedling78</t>
  </si>
  <si>
    <t>seedling79</t>
  </si>
  <si>
    <t>seedling80</t>
  </si>
  <si>
    <t>seedling81</t>
  </si>
  <si>
    <t>seedling82</t>
  </si>
  <si>
    <t>seedling83</t>
  </si>
  <si>
    <t>seedling84</t>
  </si>
  <si>
    <t>seedling85</t>
  </si>
  <si>
    <t>seedling86</t>
  </si>
  <si>
    <t>seedling88</t>
  </si>
  <si>
    <t>seedling89</t>
  </si>
  <si>
    <t>seedling90</t>
  </si>
  <si>
    <t>seedling91</t>
  </si>
  <si>
    <t>seedling92</t>
  </si>
  <si>
    <t>seedling93</t>
  </si>
  <si>
    <t>seedling94</t>
  </si>
  <si>
    <t>seedling95</t>
  </si>
  <si>
    <t>seedling96</t>
  </si>
  <si>
    <t>background</t>
  </si>
  <si>
    <t>seedling97</t>
  </si>
  <si>
    <t>plate13</t>
  </si>
  <si>
    <t>seedling98</t>
  </si>
  <si>
    <t>seedling99</t>
  </si>
  <si>
    <t>seedling100</t>
  </si>
  <si>
    <t>seedling102</t>
  </si>
  <si>
    <t>seedling103</t>
  </si>
  <si>
    <t>seedling104</t>
  </si>
  <si>
    <t>seedling105</t>
  </si>
  <si>
    <t>plate14</t>
  </si>
  <si>
    <t>seedling107</t>
  </si>
  <si>
    <t>seedling108</t>
  </si>
  <si>
    <t>seedling109</t>
  </si>
  <si>
    <t>seedling110</t>
  </si>
  <si>
    <t>seedling111</t>
  </si>
  <si>
    <t>seedling112</t>
  </si>
  <si>
    <t>seedling113</t>
  </si>
  <si>
    <t>plate15</t>
  </si>
  <si>
    <t>seedling114</t>
  </si>
  <si>
    <t>seedling115</t>
  </si>
  <si>
    <t>seedling116</t>
  </si>
  <si>
    <t>seedling117</t>
  </si>
  <si>
    <t>seedling118</t>
  </si>
  <si>
    <t>seedling119</t>
  </si>
  <si>
    <t>seedling120</t>
  </si>
  <si>
    <t>seedling121</t>
  </si>
  <si>
    <t>plate16</t>
  </si>
  <si>
    <t>seedling122</t>
  </si>
  <si>
    <t>seedling123</t>
  </si>
  <si>
    <t>seedling124</t>
  </si>
  <si>
    <t>seedling125</t>
  </si>
  <si>
    <t>seedling126</t>
  </si>
  <si>
    <t>seedling127</t>
  </si>
  <si>
    <t>seedling128</t>
  </si>
  <si>
    <t>seedling101</t>
  </si>
  <si>
    <t>seedling106</t>
  </si>
  <si>
    <t>0.5mM-&gt;10mM</t>
  </si>
  <si>
    <t>0.5mM-&gt;0.5mM</t>
  </si>
  <si>
    <t>10mM-&gt;0.5mM</t>
  </si>
  <si>
    <t>10mM-&gt;10mM</t>
  </si>
  <si>
    <t>20230616_pNRT21_0.5_T4_N1_luc.tif:0181-0056</t>
  </si>
  <si>
    <t>20230616_pNRT21_0.5_T4_N1_luc.tif:0184-0099</t>
  </si>
  <si>
    <t>20230616_pNRT21_0.5_T4_N1_luc.tif:0199-0160</t>
  </si>
  <si>
    <t>20230616_pNRT21_0.5_T4_N1_luc.tif:0197-0209</t>
  </si>
  <si>
    <t>20230616_pNRT21_0.5_T4_N1_luc.tif:0212-0258</t>
  </si>
  <si>
    <t>20230616_pNRT21_0.5_T4_N1_luc.tif:0193-0303</t>
  </si>
  <si>
    <t>20230616_pNRT21_0.5_T4_N1_luc.tif:0169-0356</t>
  </si>
  <si>
    <t>20230616_pNRT21_0.5_T4_N1_luc.tif:0195-0413</t>
  </si>
  <si>
    <t>20230616_pNRT21_0.5_T4_N1_luc.tif:0389-0445</t>
  </si>
  <si>
    <t>20230616_pNRT21_0.5_T4_N1_luc.tif:0404-0372</t>
  </si>
  <si>
    <t>20230616_pNRT21_0.5_T4_N1_luc.tif:0414-0222</t>
  </si>
  <si>
    <t>20230616_pNRT21_0.5_T4_N2_luc.tif:0218-0054</t>
  </si>
  <si>
    <t>20230616_pNRT21_0.5_T4_N2_luc.tif:0191-0092</t>
  </si>
  <si>
    <t>20230616_pNRT21_0.5_T4_N2_luc.tif:0196-0144</t>
  </si>
  <si>
    <t>20230616_pNRT21_0.5_T4_N2_luc.tif:0190-0188</t>
  </si>
  <si>
    <t>20230616_pNRT21_0.5_T4_N2_luc.tif:0199-0265</t>
  </si>
  <si>
    <t>20230616_pNRT21_0.5_T4_N2_luc.tif:0236-0320</t>
  </si>
  <si>
    <t>20230616_pNRT21_0.5_T4_N2_luc.tif:0218-0353</t>
  </si>
  <si>
    <t>20230616_pNRT21_0.5_T4_N2_luc.tif:0215-0395</t>
  </si>
  <si>
    <t>20230616_pNRT21_0.5_T4_N2_luc.tif:0363-0428</t>
  </si>
  <si>
    <t>20230616_pNRT21_0.5_T4_N2_luc.tif:0399-0249</t>
  </si>
  <si>
    <t>20230616_pNRT21_0.5_T4_N2_luc.tif:0387-0178</t>
  </si>
  <si>
    <t>20230616_pNRT21_0.5_T4_N3_luc.tif:0225-0058</t>
  </si>
  <si>
    <t>20230616_pNRT21_0.5_T4_N3_luc.tif:0202-0093</t>
  </si>
  <si>
    <t>20230616_pNRT21_0.5_T4_N3_luc.tif:0207-0152</t>
  </si>
  <si>
    <t>20230616_pNRT21_0.5_T4_N3_luc.tif:0199-0193</t>
  </si>
  <si>
    <t>20230616_pNRT21_0.5_T4_N3_luc.tif:0176-0243</t>
  </si>
  <si>
    <t>20230616_pNRT21_0.5_T4_N3_luc.tif:0213-0295</t>
  </si>
  <si>
    <t>20230616_pNRT21_0.5_T4_N3_luc.tif:0166-0369</t>
  </si>
  <si>
    <t>20230616_pNRT21_0.5_T4_N3_luc.tif:0195-0399</t>
  </si>
  <si>
    <t>20230616_pNRT21_0.5_T4_N3_luc.tif:0388-0441</t>
  </si>
  <si>
    <t>20230616_pNRT21_0.5_T4_N3_luc.tif:0378-0333</t>
  </si>
  <si>
    <t>20230616_pNRT21_0.5_T4_N3_luc.tif:0394-0269</t>
  </si>
  <si>
    <t>20230616_pNRT21_0.5_T4_N4_luc.tif:0217-0045</t>
  </si>
  <si>
    <t>20230616_pNRT21_0.5_T4_N4_luc.tif:0224-0104</t>
  </si>
  <si>
    <t>20230616_pNRT21_0.5_T4_N4_luc.tif:0195-0154</t>
  </si>
  <si>
    <t>20230616_pNRT21_0.5_T4_N4_luc.tif:0217-0194</t>
  </si>
  <si>
    <t>20230616_pNRT21_0.5_T4_N4_luc.tif:0219-0268</t>
  </si>
  <si>
    <t>20230616_pNRT21_0.5_T4_N4_luc.tif:0203-0307</t>
  </si>
  <si>
    <t>20230616_pNRT21_0.5_T4_N4_luc.tif:0218-0374</t>
  </si>
  <si>
    <t>20230616_pNRT21_0.5_T4_N4_luc.tif:0241-0405</t>
  </si>
  <si>
    <t>20230616_pNRT21_0.5_T4_N4_luc.tif:0388-0437</t>
  </si>
  <si>
    <t>20230616_pNRT21_0.5_T4_N4_luc.tif:0403-0343</t>
  </si>
  <si>
    <t>20230616_pNRT21_0.5_T4_N4_luc.tif:0381-0232</t>
  </si>
  <si>
    <t>20230616_pNRT21_0.5_T4_N5_luc.tif:0200-0057</t>
  </si>
  <si>
    <t>20230616_pNRT21_0.5_T4_N5_luc.tif:0210-0094</t>
  </si>
  <si>
    <t>20230616_pNRT21_0.5_T4_N5_luc.tif:0197-0145</t>
  </si>
  <si>
    <t>20230616_pNRT21_0.5_T4_N5_luc.tif:0209-0191</t>
  </si>
  <si>
    <t>20230616_pNRT21_0.5_T4_N5_luc.tif:0204-0255</t>
  </si>
  <si>
    <t>20230616_pNRT21_0.5_T4_N5_luc.tif:0175-0312</t>
  </si>
  <si>
    <t>20230616_pNRT21_0.5_T4_N5_luc.tif:0201-0345</t>
  </si>
  <si>
    <t>20230616_pNRT21_0.5_T4_N5_luc.tif:0219-0385</t>
  </si>
  <si>
    <t>20230616_pNRT21_0.5_T4_N5_luc.tif:0374-0431</t>
  </si>
  <si>
    <t>20230616_pNRT21_0.5_T4_N5_luc.tif:0397-0320</t>
  </si>
  <si>
    <t>20230616_pNRT21_0.5_T4_N5_luc.tif:0380-0233</t>
  </si>
  <si>
    <t>20230616_pNRT21_0.5_T4_N6_luc.tif:0227-0060</t>
  </si>
  <si>
    <t>20230616_pNRT21_0.5_T4_N6_luc.tif:0203-0091</t>
  </si>
  <si>
    <t>20230616_pNRT21_0.5_T4_N6_luc.tif:0231-0138</t>
  </si>
  <si>
    <t>20230616_pNRT21_0.5_T4_N6_luc.tif:0237-0200</t>
  </si>
  <si>
    <t>20230616_pNRT21_0.5_T4_N6_luc.tif:0196-0256</t>
  </si>
  <si>
    <t>20230616_pNRT21_0.5_T4_N6_luc.tif:0178-0305</t>
  </si>
  <si>
    <t>20230616_pNRT21_0.5_T4_N6_luc.tif:0206-0351</t>
  </si>
  <si>
    <t>20230616_pNRT21_0.5_T4_N6_luc.tif:0198-0403</t>
  </si>
  <si>
    <t>20230616_pNRT21_0.5_T4_N6_luc.tif:0376-0434</t>
  </si>
  <si>
    <t>20230616_pNRT21_0.5_T4_N6_luc.tif:0403-0333</t>
  </si>
  <si>
    <t>20230616_pNRT21_0.5_T4_N6_luc.tif:0384-0172</t>
  </si>
  <si>
    <t>20230616_pNRT21_0.5_T4_N7_luc.tif:0180-0057</t>
  </si>
  <si>
    <t>20230616_pNRT21_0.5_T4_N7_luc.tif:0184-0108</t>
  </si>
  <si>
    <t>20230616_pNRT21_0.5_T4_N7_luc.tif:0201-0153</t>
  </si>
  <si>
    <t>20230616_pNRT21_0.5_T4_N7_luc.tif:0209-0202</t>
  </si>
  <si>
    <t>20230616_pNRT21_0.5_T4_N7_luc.tif:0226-0233</t>
  </si>
  <si>
    <t>20230616_pNRT21_0.5_T4_N7_luc.tif:0188-0303</t>
  </si>
  <si>
    <t>20230616_pNRT21_0.5_T4_N7_luc.tif:0170-0358</t>
  </si>
  <si>
    <t>20230616_pNRT21_0.5_T4_N7_luc.tif:0201-0403</t>
  </si>
  <si>
    <t>20230616_pNRT21_0.5_T4_N7_luc.tif:0401-0431</t>
  </si>
  <si>
    <t>20230616_pNRT21_0.5_T4_N7_luc.tif:0405-0359</t>
  </si>
  <si>
    <t>20230616_pNRT21_0.5_T4_N7_luc.tif:0373-0272</t>
  </si>
  <si>
    <t>20230616_pNRT21_0.5_T4_N8_luc.tif:0195-0065</t>
  </si>
  <si>
    <t>20230616_pNRT21_0.5_T4_N8_luc.tif:0238-0095</t>
  </si>
  <si>
    <t>20230616_pNRT21_0.5_T4_N8_luc.tif:0209-0155</t>
  </si>
  <si>
    <t>20230616_pNRT21_0.5_T4_N8_luc.tif:0205-0210</t>
  </si>
  <si>
    <t>20230616_pNRT21_0.5_T4_N8_luc.tif:0172-0263</t>
  </si>
  <si>
    <t>20230616_pNRT21_0.5_T4_N8_luc.tif:0194-0307</t>
  </si>
  <si>
    <t>20230616_pNRT21_0.5_T4_N8_luc.tif:0201-0369</t>
  </si>
  <si>
    <t>20230616_pNRT21_0.5_T4_N8_luc.tif:0232-0402</t>
  </si>
  <si>
    <t>20230616_pNRT21_0.5_T4_N8_luc.tif:0401-0428</t>
  </si>
  <si>
    <t>20230616_pNRT21_0.5_T4_N8_luc.tif:0402-0333</t>
  </si>
  <si>
    <t>20230616_pNRT21_0.5_T4_N8_luc.tif:0400-0261</t>
  </si>
  <si>
    <t>20230616_pNRT21_10_T4_N9_luc.tif:0241-0048</t>
  </si>
  <si>
    <t>20230616_pNRT21_10_T4_N9_luc.tif:0221-0097</t>
  </si>
  <si>
    <t>20230616_pNRT21_10_T4_N9_luc.tif:0200-0156</t>
  </si>
  <si>
    <t>20230616_pNRT21_10_T4_N9_luc.tif:0197-0193</t>
  </si>
  <si>
    <t>20230616_pNRT21_10_T4_N9_luc.tif:0187-0256</t>
  </si>
  <si>
    <t>20230616_pNRT21_10_T4_N9_luc.tif:0229-0304</t>
  </si>
  <si>
    <t>20230616_pNRT21_10_T4_N9_luc.tif:0193-0355</t>
  </si>
  <si>
    <t>20230616_pNRT21_10_T4_N9_luc.tif:0209-0408</t>
  </si>
  <si>
    <t>20230616_pNRT21_10_T4_N9_luc.tif:0382-0443</t>
  </si>
  <si>
    <t>20230616_pNRT21_10_T4_N9_luc.tif:0384-0240</t>
  </si>
  <si>
    <t>20230616_pNRT21_10_T4_N9_luc.tif:0367-0132</t>
  </si>
  <si>
    <t>20230616_pNRT21_10_T4_N10_luc.tif:0233-0050</t>
  </si>
  <si>
    <t>20230616_pNRT21_10_T4_N10_luc.tif:0241-0109</t>
  </si>
  <si>
    <t>20230616_pNRT21_10_T4_N10_luc.tif:0214-0156</t>
  </si>
  <si>
    <t>20230616_pNRT21_10_T4_N10_luc.tif:0225-0211</t>
  </si>
  <si>
    <t>20230616_pNRT21_10_T4_N10_luc.tif:0225-0276</t>
  </si>
  <si>
    <t>20230616_pNRT21_10_T4_N10_luc.tif:0225-0308</t>
  </si>
  <si>
    <t>20230616_pNRT21_10_T4_N10_luc.tif:0246-0347</t>
  </si>
  <si>
    <t>20230616_pNRT21_10_T4_N10_luc.tif:0190-0407</t>
  </si>
  <si>
    <t>20230616_pNRT21_10_T4_N10_luc.tif:0385-0427</t>
  </si>
  <si>
    <t>20230616_pNRT21_10_T4_N10_luc.tif:0407-0280</t>
  </si>
  <si>
    <t>20230616_pNRT21_10_T4_N10_luc.tif:0389-0180</t>
  </si>
  <si>
    <t>20230616_pNRT21_10_T4_N11_luc.tif:0213-0076</t>
  </si>
  <si>
    <t>20230616_pNRT21_10_T4_N11_luc.tif:0239-0105</t>
  </si>
  <si>
    <t>20230616_pNRT21_10_T4_N11_luc.tif:0216-0156</t>
  </si>
  <si>
    <t>20230616_pNRT21_10_T4_N11_luc.tif:0217-0209</t>
  </si>
  <si>
    <t>20230616_pNRT21_10_T4_N11_luc.tif:0209-0255</t>
  </si>
  <si>
    <t>20230616_pNRT21_10_T4_N11_luc.tif:0212-0311</t>
  </si>
  <si>
    <t>20230616_pNRT21_10_T4_N11_luc.tif:0213-0368</t>
  </si>
  <si>
    <t>20230616_pNRT21_10_T4_N11_luc.tif:0235-0411</t>
  </si>
  <si>
    <t>20230616_pNRT21_10_T4_N11_luc.tif:0380-0450</t>
  </si>
  <si>
    <t>20230616_pNRT21_10_T4_N11_luc.tif:0371-0377</t>
  </si>
  <si>
    <t>20230616_pNRT21_10_T4_N11_luc.tif:0355-0276</t>
  </si>
  <si>
    <t>20230616_pNRT21_10_T4_N12_luc.tif:0214-0059</t>
  </si>
  <si>
    <t>20230616_pNRT21_10_T4_N12_luc.tif:0231-0102</t>
  </si>
  <si>
    <t>20230616_pNRT21_10_T4_N12_luc.tif:0242-0162</t>
  </si>
  <si>
    <t>20230616_pNRT21_10_T4_N12_luc.tif:0215-0214</t>
  </si>
  <si>
    <t>20230616_pNRT21_10_T4_N12_luc.tif:0188-0259</t>
  </si>
  <si>
    <t>20230616_pNRT21_10_T4_N12_luc.tif:0231-0311</t>
  </si>
  <si>
    <t>20230616_pNRT21_10_T4_N12_luc.tif:0212-0353</t>
  </si>
  <si>
    <t>20230616_pNRT21_10_T4_N12_luc.tif:0218-0410</t>
  </si>
  <si>
    <t>20230616_pNRT21_10_T4_N12_luc.tif:0378-0431</t>
  </si>
  <si>
    <t>20230616_pNRT21_10_T4_N12_luc.tif:0379-0371</t>
  </si>
  <si>
    <t>20230616_pNRT21_10_T4_N12_luc.tif:0374-0265</t>
  </si>
  <si>
    <t>20230616_pNRT21_10_T4_N13_luc.tif:0222-0057</t>
  </si>
  <si>
    <t>20230616_pNRT21_10_T4_N13_luc.tif:0212-0103</t>
  </si>
  <si>
    <t>20230616_pNRT21_10_T4_N13_luc.tif:0225-0157</t>
  </si>
  <si>
    <t>20230616_pNRT21_10_T4_N13_luc.tif:0220-0215</t>
  </si>
  <si>
    <t>20230616_pNRT21_10_T4_N13_luc.tif:0253-0259</t>
  </si>
  <si>
    <t>20230616_pNRT21_10_T4_N13_luc.tif:0229-0314</t>
  </si>
  <si>
    <t>20230616_pNRT21_10_T4_N13_luc.tif:0227-0355</t>
  </si>
  <si>
    <t>20230616_pNRT21_10_T4_N13_luc.tif:0231-0408</t>
  </si>
  <si>
    <t>20230616_pNRT21_10_T4_N13_luc.tif:0389-0442</t>
  </si>
  <si>
    <t>20230616_pNRT21_10_T4_N13_luc.tif:0390-0367</t>
  </si>
  <si>
    <t>20230616_pNRT21_10_T4_N13_luc.tif:0386-0282</t>
  </si>
  <si>
    <t>20230616_pNRT21_10_T4_N14_luc.tif:0234-0063</t>
  </si>
  <si>
    <t>20230616_pNRT21_10_T4_N14_luc.tif:0219-0113</t>
  </si>
  <si>
    <t>20230616_pNRT21_10_T4_N14_luc.tif:0230-0154</t>
  </si>
  <si>
    <t>20230616_pNRT21_10_T4_N14_luc.tif:0229-0214</t>
  </si>
  <si>
    <t>20230616_pNRT21_10_T4_N14_luc.tif:0224-0246</t>
  </si>
  <si>
    <t>20230616_pNRT21_10_T4_N14_luc.tif:0226-0333</t>
  </si>
  <si>
    <t>20230616_pNRT21_10_T4_N14_luc.tif:0242-0372</t>
  </si>
  <si>
    <t>20230616_pNRT21_10_T4_N14_luc.tif:0231-0411</t>
  </si>
  <si>
    <t>20230616_pNRT21_10_T4_N14_luc.tif:0369-0437</t>
  </si>
  <si>
    <t>20230616_pNRT21_10_T4_N14_luc.tif:0374-0308</t>
  </si>
  <si>
    <t>20230616_pNRT21_10_T4_N14_luc.tif:0387-0270</t>
  </si>
  <si>
    <t>20230616_pNRT21_10_T4_N15_luc.tif:0207-0057</t>
  </si>
  <si>
    <t>20230616_pNRT21_10_T4_N15_luc.tif:0225-0116</t>
  </si>
  <si>
    <t>20230616_pNRT21_10_T4_N15_luc.tif:0207-0132</t>
  </si>
  <si>
    <t>20230616_pNRT21_10_T4_N15_luc.tif:0185-0216</t>
  </si>
  <si>
    <t>20230616_pNRT21_10_T4_N15_luc.tif:0223-0273</t>
  </si>
  <si>
    <t>20230616_pNRT21_10_T4_N15_luc.tif:0232-0297</t>
  </si>
  <si>
    <t>20230616_pNRT21_10_T4_N15_luc.tif:0199-0355</t>
  </si>
  <si>
    <t>20230616_pNRT21_10_T4_N15_luc.tif:0200-0434</t>
  </si>
  <si>
    <t>20230616_pNRT21_10_T4_N15_luc.tif:0371-0398</t>
  </si>
  <si>
    <t>20230616_pNRT21_10_T4_N15_luc.tif:0377-0322</t>
  </si>
  <si>
    <t>20230616_pNRT21_10_T4_N15_luc.tif:0387-0178</t>
  </si>
  <si>
    <t>20230616_pNRT21_10_T4_N16_luc.tif:0222-0059</t>
  </si>
  <si>
    <t>20230616_pNRT21_10_T4_N16_luc.tif:0233-0095</t>
  </si>
  <si>
    <t>20230616_pNRT21_10_T4_N16_luc.tif:0237-0157</t>
  </si>
  <si>
    <t>20230616_pNRT21_10_T4_N16_luc.tif:0222-0230</t>
  </si>
  <si>
    <t>20230616_pNRT21_10_T4_N16_luc.tif:0201-0274</t>
  </si>
  <si>
    <t>20230616_pNRT21_10_T4_N16_luc.tif:0195-0317</t>
  </si>
  <si>
    <t>20230616_pNRT21_10_T4_N16_luc.tif:0225-0348</t>
  </si>
  <si>
    <t>20230616_pNRT21_10_T4_N16_luc.tif:0214-0405</t>
  </si>
  <si>
    <t>20230616_pNRT21_10_T4_N16_luc.tif:0385-0441</t>
  </si>
  <si>
    <t>20230616_pNRT21_10_T4_N16_luc.tif:0370-0364</t>
  </si>
  <si>
    <t>20230616_pNRT21_10_T4_N16_luc.tif:0377-0295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</si>
</sst>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7"/>
  <sheetViews>
    <sheetView tabSelected="1" topLeftCell="A40" zoomScale="85" zoomScaleNormal="85" workbookViewId="0">
      <selection activeCell="F57" sqref="F57"/>
    </sheetView>
  </sheetViews>
  <sheetFormatPr baseColWidth="10" defaultColWidth="9.140625" defaultRowHeight="15" x14ac:dyDescent="0.25"/>
  <cols>
    <col min="2" max="2" width="51.85546875" customWidth="1"/>
    <col min="7" max="7" width="13.42578125" customWidth="1"/>
    <col min="8" max="8" width="11.85546875" customWidth="1"/>
    <col min="9" max="9" width="13.7109375" customWidth="1"/>
    <col min="10" max="10" width="20.42578125" customWidth="1"/>
    <col min="11" max="11" width="22" customWidth="1"/>
    <col min="12" max="12" width="14.28515625" customWidth="1"/>
    <col min="13" max="13" width="21.140625" customWidth="1"/>
    <col min="14" max="14" width="23.28515625" customWidth="1"/>
    <col min="15" max="15" width="27.140625" customWidth="1"/>
  </cols>
  <sheetData>
    <row r="1" spans="1:15" x14ac:dyDescent="0.25">
      <c r="A1" t="s">
        <v>18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13</v>
      </c>
      <c r="N1" t="s">
        <v>11</v>
      </c>
      <c r="O1" s="1" t="s">
        <v>12</v>
      </c>
    </row>
    <row r="2" spans="1:15" x14ac:dyDescent="0.25">
      <c r="A2">
        <v>1</v>
      </c>
      <c r="B2" t="s">
        <v>165</v>
      </c>
      <c r="C2">
        <v>1500</v>
      </c>
      <c r="D2">
        <v>328.13200000000001</v>
      </c>
      <c r="E2">
        <v>492198</v>
      </c>
      <c r="F2">
        <v>305</v>
      </c>
      <c r="G2">
        <v>492198</v>
      </c>
      <c r="H2">
        <v>186.673</v>
      </c>
      <c r="I2" t="s">
        <v>28</v>
      </c>
      <c r="J2" t="s">
        <v>27</v>
      </c>
      <c r="K2" t="s">
        <v>161</v>
      </c>
      <c r="L2">
        <f t="shared" ref="L2:L65" si="0">H2/4.95</f>
        <v>37.711717171717169</v>
      </c>
      <c r="M2" t="s">
        <v>14</v>
      </c>
      <c r="N2">
        <f>G2-(((G$10/C$10*C2)+(G$11/C$11*C2)+(G$12/C$12*C2))/3)</f>
        <v>63728.951986571949</v>
      </c>
      <c r="O2">
        <f t="shared" ref="O2" si="1">N2/L2</f>
        <v>1689.8979088220105</v>
      </c>
    </row>
    <row r="3" spans="1:15" x14ac:dyDescent="0.25">
      <c r="A3">
        <v>2</v>
      </c>
      <c r="B3" t="s">
        <v>166</v>
      </c>
      <c r="C3">
        <v>1575</v>
      </c>
      <c r="D3">
        <v>316.65899999999999</v>
      </c>
      <c r="E3">
        <v>498738</v>
      </c>
      <c r="F3">
        <v>298</v>
      </c>
      <c r="G3">
        <v>498738</v>
      </c>
      <c r="H3">
        <v>196.60300000000001</v>
      </c>
      <c r="I3" t="s">
        <v>29</v>
      </c>
      <c r="J3" t="s">
        <v>27</v>
      </c>
      <c r="K3" t="s">
        <v>161</v>
      </c>
      <c r="L3">
        <f t="shared" si="0"/>
        <v>39.717777777777776</v>
      </c>
      <c r="M3" t="s">
        <v>14</v>
      </c>
      <c r="N3">
        <f>G3-(((G$10/C$10*C3)+(G$11/C$11*C3)+(G$12/C$12*C3))/3)</f>
        <v>48845.499585900514</v>
      </c>
      <c r="O3">
        <f>N3/L3</f>
        <v>1229.8145142760159</v>
      </c>
    </row>
    <row r="4" spans="1:15" x14ac:dyDescent="0.25">
      <c r="A4">
        <v>3</v>
      </c>
      <c r="B4" t="s">
        <v>167</v>
      </c>
      <c r="C4">
        <v>1916</v>
      </c>
      <c r="D4">
        <v>314.06299999999999</v>
      </c>
      <c r="E4">
        <v>601745</v>
      </c>
      <c r="F4">
        <v>295</v>
      </c>
      <c r="G4">
        <v>601745</v>
      </c>
      <c r="H4">
        <v>238.81800000000001</v>
      </c>
      <c r="I4" t="s">
        <v>30</v>
      </c>
      <c r="J4" t="s">
        <v>27</v>
      </c>
      <c r="K4" t="s">
        <v>161</v>
      </c>
      <c r="L4">
        <f t="shared" si="0"/>
        <v>48.24606060606061</v>
      </c>
      <c r="M4" t="s">
        <v>14</v>
      </c>
      <c r="N4">
        <f>G4-(((G$10/C$10*C4)+(G$11/C$11*C4)+(G$12/C$12*C4))/3)</f>
        <v>54447.202670847881</v>
      </c>
      <c r="O4">
        <f>N4/L4</f>
        <v>1128.5315730836746</v>
      </c>
    </row>
    <row r="5" spans="1:15" x14ac:dyDescent="0.25">
      <c r="A5">
        <v>4</v>
      </c>
      <c r="B5" t="s">
        <v>168</v>
      </c>
      <c r="C5">
        <v>1862</v>
      </c>
      <c r="D5">
        <v>343.39499999999998</v>
      </c>
      <c r="E5">
        <v>639402</v>
      </c>
      <c r="F5">
        <v>313</v>
      </c>
      <c r="G5">
        <v>639402</v>
      </c>
      <c r="H5">
        <v>233.69900000000001</v>
      </c>
      <c r="I5" t="s">
        <v>31</v>
      </c>
      <c r="J5" t="s">
        <v>27</v>
      </c>
      <c r="K5" t="s">
        <v>161</v>
      </c>
      <c r="L5">
        <f t="shared" si="0"/>
        <v>47.211919191919193</v>
      </c>
      <c r="M5" t="s">
        <v>14</v>
      </c>
      <c r="N5">
        <f>G5-(((G$10/C$10*C5)+(G$11/C$11*C5)+(G$12/C$12*C5))/3)</f>
        <v>107529.0883993312</v>
      </c>
      <c r="O5">
        <f>N5/L5</f>
        <v>2277.5835051784106</v>
      </c>
    </row>
    <row r="6" spans="1:15" x14ac:dyDescent="0.25">
      <c r="A6">
        <v>5</v>
      </c>
      <c r="B6" t="s">
        <v>169</v>
      </c>
      <c r="C6">
        <v>2089</v>
      </c>
      <c r="D6">
        <v>356.77699999999999</v>
      </c>
      <c r="E6">
        <v>745308</v>
      </c>
      <c r="F6">
        <v>324</v>
      </c>
      <c r="G6">
        <v>745308</v>
      </c>
      <c r="H6">
        <v>260.33600000000001</v>
      </c>
      <c r="I6" t="s">
        <v>32</v>
      </c>
      <c r="J6" t="s">
        <v>27</v>
      </c>
      <c r="K6" t="s">
        <v>161</v>
      </c>
      <c r="L6">
        <f t="shared" si="0"/>
        <v>52.593131313131316</v>
      </c>
      <c r="M6" t="s">
        <v>14</v>
      </c>
      <c r="N6">
        <f>G6-(((G$10/C$10*C6)+(G$11/C$11*C6)+(G$12/C$12*C6))/3)</f>
        <v>148593.43913329917</v>
      </c>
      <c r="O6">
        <f t="shared" ref="O6:O12" si="2">N6/L6</f>
        <v>2825.3392681374485</v>
      </c>
    </row>
    <row r="7" spans="1:15" x14ac:dyDescent="0.25">
      <c r="A7">
        <v>6</v>
      </c>
      <c r="B7" t="s">
        <v>170</v>
      </c>
      <c r="C7">
        <v>1904</v>
      </c>
      <c r="D7">
        <v>342.73899999999998</v>
      </c>
      <c r="E7">
        <v>652576</v>
      </c>
      <c r="F7">
        <v>318</v>
      </c>
      <c r="G7">
        <v>652576</v>
      </c>
      <c r="H7">
        <v>237.81399999999999</v>
      </c>
      <c r="I7" t="s">
        <v>33</v>
      </c>
      <c r="J7" t="s">
        <v>27</v>
      </c>
      <c r="K7" t="s">
        <v>161</v>
      </c>
      <c r="L7">
        <f t="shared" si="0"/>
        <v>48.043232323232317</v>
      </c>
      <c r="M7" t="s">
        <v>14</v>
      </c>
      <c r="N7">
        <f t="shared" ref="N7:N9" si="3">G7-(((G$10/C$10*C7)+(G$11/C$11*C7)+(G$12/C$12*C7))/3)</f>
        <v>108705.95505495532</v>
      </c>
      <c r="O7">
        <f t="shared" si="2"/>
        <v>2262.6694707713968</v>
      </c>
    </row>
    <row r="8" spans="1:15" x14ac:dyDescent="0.25">
      <c r="A8">
        <v>7</v>
      </c>
      <c r="B8" t="s">
        <v>171</v>
      </c>
      <c r="C8">
        <v>1476</v>
      </c>
      <c r="D8">
        <v>297.83600000000001</v>
      </c>
      <c r="E8">
        <v>439606</v>
      </c>
      <c r="F8">
        <v>290</v>
      </c>
      <c r="G8">
        <v>439606</v>
      </c>
      <c r="H8">
        <v>183.37200000000001</v>
      </c>
      <c r="I8" t="s">
        <v>34</v>
      </c>
      <c r="J8" t="s">
        <v>27</v>
      </c>
      <c r="K8" t="s">
        <v>161</v>
      </c>
      <c r="L8">
        <f t="shared" si="0"/>
        <v>37.044848484848487</v>
      </c>
      <c r="M8" t="s">
        <v>14</v>
      </c>
      <c r="N8">
        <f t="shared" si="3"/>
        <v>17992.456754786836</v>
      </c>
      <c r="O8">
        <f t="shared" si="2"/>
        <v>485.69389512136439</v>
      </c>
    </row>
    <row r="9" spans="1:15" x14ac:dyDescent="0.25">
      <c r="A9">
        <v>8</v>
      </c>
      <c r="B9" t="s">
        <v>172</v>
      </c>
      <c r="C9">
        <v>1940</v>
      </c>
      <c r="D9">
        <v>322.64499999999998</v>
      </c>
      <c r="E9">
        <v>625932</v>
      </c>
      <c r="F9">
        <v>302</v>
      </c>
      <c r="G9">
        <v>625932</v>
      </c>
      <c r="H9">
        <v>243.642</v>
      </c>
      <c r="I9" t="s">
        <v>35</v>
      </c>
      <c r="J9" t="s">
        <v>27</v>
      </c>
      <c r="K9" t="s">
        <v>161</v>
      </c>
      <c r="L9">
        <f t="shared" si="0"/>
        <v>49.220606060606059</v>
      </c>
      <c r="M9" t="s">
        <v>14</v>
      </c>
      <c r="N9">
        <f t="shared" si="3"/>
        <v>71778.69790263311</v>
      </c>
      <c r="O9">
        <f t="shared" si="2"/>
        <v>1458.305852923691</v>
      </c>
    </row>
    <row r="10" spans="1:15" x14ac:dyDescent="0.25">
      <c r="A10">
        <v>9</v>
      </c>
      <c r="B10" t="s">
        <v>173</v>
      </c>
      <c r="C10">
        <v>1414</v>
      </c>
      <c r="D10">
        <v>285.61599999999999</v>
      </c>
      <c r="E10">
        <v>403861</v>
      </c>
      <c r="F10">
        <v>286</v>
      </c>
      <c r="G10">
        <v>403861</v>
      </c>
      <c r="H10">
        <v>176.02600000000001</v>
      </c>
      <c r="I10" t="s">
        <v>124</v>
      </c>
      <c r="K10" t="s">
        <v>161</v>
      </c>
      <c r="L10">
        <f t="shared" si="0"/>
        <v>35.56080808080808</v>
      </c>
      <c r="M10" t="s">
        <v>14</v>
      </c>
      <c r="O10">
        <f>N10/L10</f>
        <v>0</v>
      </c>
    </row>
    <row r="11" spans="1:15" x14ac:dyDescent="0.25">
      <c r="A11">
        <v>10</v>
      </c>
      <c r="B11" t="s">
        <v>174</v>
      </c>
      <c r="C11">
        <v>1382</v>
      </c>
      <c r="D11">
        <v>285.67099999999999</v>
      </c>
      <c r="E11">
        <v>394798</v>
      </c>
      <c r="F11">
        <v>286</v>
      </c>
      <c r="G11">
        <v>394798</v>
      </c>
      <c r="H11">
        <v>171.56700000000001</v>
      </c>
      <c r="I11" t="s">
        <v>124</v>
      </c>
      <c r="K11" t="s">
        <v>161</v>
      </c>
      <c r="L11">
        <f t="shared" si="0"/>
        <v>34.660000000000004</v>
      </c>
      <c r="M11" t="s">
        <v>14</v>
      </c>
      <c r="O11">
        <f t="shared" si="2"/>
        <v>0</v>
      </c>
    </row>
    <row r="12" spans="1:15" x14ac:dyDescent="0.25">
      <c r="A12">
        <v>11</v>
      </c>
      <c r="B12" t="s">
        <v>175</v>
      </c>
      <c r="C12">
        <v>1205</v>
      </c>
      <c r="D12">
        <v>285.65100000000001</v>
      </c>
      <c r="E12">
        <v>344209</v>
      </c>
      <c r="F12">
        <v>286</v>
      </c>
      <c r="G12">
        <v>344209</v>
      </c>
      <c r="H12">
        <v>149.678</v>
      </c>
      <c r="I12" t="s">
        <v>124</v>
      </c>
      <c r="K12" t="s">
        <v>161</v>
      </c>
      <c r="L12">
        <f t="shared" si="0"/>
        <v>30.237979797979797</v>
      </c>
      <c r="M12" t="s">
        <v>14</v>
      </c>
      <c r="O12">
        <f t="shared" si="2"/>
        <v>0</v>
      </c>
    </row>
    <row r="13" spans="1:15" x14ac:dyDescent="0.25">
      <c r="A13">
        <v>1</v>
      </c>
      <c r="B13" t="s">
        <v>176</v>
      </c>
      <c r="C13">
        <v>1921</v>
      </c>
      <c r="D13">
        <v>312.18</v>
      </c>
      <c r="E13">
        <v>599698</v>
      </c>
      <c r="F13">
        <v>296</v>
      </c>
      <c r="G13">
        <v>599698</v>
      </c>
      <c r="H13">
        <v>238.85</v>
      </c>
      <c r="I13" t="s">
        <v>36</v>
      </c>
      <c r="J13" t="s">
        <v>27</v>
      </c>
      <c r="K13" t="s">
        <v>161</v>
      </c>
      <c r="L13">
        <f t="shared" si="0"/>
        <v>48.252525252525253</v>
      </c>
      <c r="M13" t="s">
        <v>15</v>
      </c>
      <c r="N13">
        <f>G13-(((G$21/C$21*C13)+(G$22/C$22*C13)+(G$23/C$23*C13))/3)</f>
        <v>49745.104750187951</v>
      </c>
      <c r="O13">
        <f t="shared" ref="O13:O76" si="4">N13/L13</f>
        <v>1030.9326711887393</v>
      </c>
    </row>
    <row r="14" spans="1:15" x14ac:dyDescent="0.25">
      <c r="A14">
        <v>2</v>
      </c>
      <c r="B14" t="s">
        <v>177</v>
      </c>
      <c r="C14">
        <v>1554</v>
      </c>
      <c r="D14">
        <v>304.95299999999997</v>
      </c>
      <c r="E14">
        <v>473897</v>
      </c>
      <c r="F14">
        <v>292</v>
      </c>
      <c r="G14">
        <v>473897</v>
      </c>
      <c r="H14">
        <v>193.24299999999999</v>
      </c>
      <c r="I14" t="s">
        <v>37</v>
      </c>
      <c r="J14" t="s">
        <v>27</v>
      </c>
      <c r="K14" t="s">
        <v>161</v>
      </c>
      <c r="L14">
        <f t="shared" si="0"/>
        <v>39.038989898989897</v>
      </c>
      <c r="M14" t="s">
        <v>15</v>
      </c>
      <c r="N14">
        <f t="shared" ref="N14:N20" si="5">G14-(((G$21/C$21*C14)+(G$22/C$22*C14)+(G$23/C$23*C14))/3)</f>
        <v>29010.587080578844</v>
      </c>
      <c r="O14">
        <f t="shared" ref="O14:O20" si="6">N14/L14</f>
        <v>743.1182813807759</v>
      </c>
    </row>
    <row r="15" spans="1:15" x14ac:dyDescent="0.25">
      <c r="A15">
        <v>3</v>
      </c>
      <c r="B15" t="s">
        <v>178</v>
      </c>
      <c r="C15">
        <v>1731</v>
      </c>
      <c r="D15">
        <v>342.38099999999997</v>
      </c>
      <c r="E15">
        <v>592662</v>
      </c>
      <c r="F15">
        <v>315</v>
      </c>
      <c r="G15">
        <v>592662</v>
      </c>
      <c r="H15">
        <v>216.31700000000001</v>
      </c>
      <c r="I15" t="s">
        <v>38</v>
      </c>
      <c r="J15" t="s">
        <v>27</v>
      </c>
      <c r="K15" t="s">
        <v>161</v>
      </c>
      <c r="L15">
        <f t="shared" si="0"/>
        <v>43.700404040404038</v>
      </c>
      <c r="M15" t="s">
        <v>15</v>
      </c>
      <c r="N15">
        <f t="shared" si="5"/>
        <v>97103.196419872576</v>
      </c>
      <c r="O15">
        <f t="shared" si="6"/>
        <v>2222.0205637022023</v>
      </c>
    </row>
    <row r="16" spans="1:15" x14ac:dyDescent="0.25">
      <c r="A16">
        <v>4</v>
      </c>
      <c r="B16" t="s">
        <v>179</v>
      </c>
      <c r="C16">
        <v>1796</v>
      </c>
      <c r="D16">
        <v>309.245</v>
      </c>
      <c r="E16">
        <v>555404</v>
      </c>
      <c r="F16">
        <v>293</v>
      </c>
      <c r="G16">
        <v>555404</v>
      </c>
      <c r="H16">
        <v>224.63200000000001</v>
      </c>
      <c r="I16" t="s">
        <v>39</v>
      </c>
      <c r="J16" t="s">
        <v>27</v>
      </c>
      <c r="K16" t="s">
        <v>161</v>
      </c>
      <c r="L16">
        <f t="shared" si="0"/>
        <v>45.38020202020202</v>
      </c>
      <c r="M16" t="s">
        <v>15</v>
      </c>
      <c r="N16">
        <f t="shared" si="5"/>
        <v>41236.691374980554</v>
      </c>
      <c r="O16">
        <f t="shared" si="6"/>
        <v>908.69342883540071</v>
      </c>
    </row>
    <row r="17" spans="1:15" x14ac:dyDescent="0.25">
      <c r="A17">
        <v>5</v>
      </c>
      <c r="B17" t="s">
        <v>180</v>
      </c>
      <c r="C17">
        <v>1775</v>
      </c>
      <c r="D17">
        <v>358.774</v>
      </c>
      <c r="E17">
        <v>636824</v>
      </c>
      <c r="F17">
        <v>326</v>
      </c>
      <c r="G17">
        <v>636824</v>
      </c>
      <c r="H17">
        <v>221.86099999999999</v>
      </c>
      <c r="I17" t="s">
        <v>40</v>
      </c>
      <c r="J17" t="s">
        <v>27</v>
      </c>
      <c r="K17" t="s">
        <v>161</v>
      </c>
      <c r="L17">
        <f t="shared" si="0"/>
        <v>44.820404040404036</v>
      </c>
      <c r="M17" t="s">
        <v>15</v>
      </c>
      <c r="N17">
        <f t="shared" si="5"/>
        <v>128668.66992794565</v>
      </c>
      <c r="O17">
        <f t="shared" si="6"/>
        <v>2870.7610447231873</v>
      </c>
    </row>
    <row r="18" spans="1:15" x14ac:dyDescent="0.25">
      <c r="A18">
        <v>6</v>
      </c>
      <c r="B18" t="s">
        <v>181</v>
      </c>
      <c r="C18">
        <v>2409</v>
      </c>
      <c r="D18">
        <v>329.93</v>
      </c>
      <c r="E18">
        <v>794802</v>
      </c>
      <c r="F18">
        <v>304</v>
      </c>
      <c r="G18">
        <v>794802</v>
      </c>
      <c r="H18">
        <v>299.77</v>
      </c>
      <c r="I18" t="s">
        <v>41</v>
      </c>
      <c r="J18" t="s">
        <v>27</v>
      </c>
      <c r="K18" t="s">
        <v>161</v>
      </c>
      <c r="L18">
        <f t="shared" si="0"/>
        <v>60.559595959595953</v>
      </c>
      <c r="M18" t="s">
        <v>15</v>
      </c>
      <c r="N18">
        <f t="shared" si="5"/>
        <v>105142.17456699768</v>
      </c>
      <c r="O18">
        <f t="shared" si="6"/>
        <v>1736.1769493499635</v>
      </c>
    </row>
    <row r="19" spans="1:15" x14ac:dyDescent="0.25">
      <c r="A19">
        <v>7</v>
      </c>
      <c r="B19" t="s">
        <v>182</v>
      </c>
      <c r="C19">
        <v>2062</v>
      </c>
      <c r="D19">
        <v>322.80099999999999</v>
      </c>
      <c r="E19">
        <v>665616</v>
      </c>
      <c r="F19">
        <v>302</v>
      </c>
      <c r="G19">
        <v>665616</v>
      </c>
      <c r="H19">
        <v>257.20400000000001</v>
      </c>
      <c r="I19" t="s">
        <v>42</v>
      </c>
      <c r="J19" t="s">
        <v>27</v>
      </c>
      <c r="K19" t="s">
        <v>161</v>
      </c>
      <c r="L19">
        <f t="shared" si="0"/>
        <v>51.960404040404043</v>
      </c>
      <c r="M19" t="s">
        <v>15</v>
      </c>
      <c r="N19">
        <f t="shared" si="5"/>
        <v>75296.963037421927</v>
      </c>
      <c r="O19">
        <f t="shared" si="6"/>
        <v>1449.1219694687427</v>
      </c>
    </row>
    <row r="20" spans="1:15" x14ac:dyDescent="0.25">
      <c r="A20">
        <v>8</v>
      </c>
      <c r="B20" t="s">
        <v>183</v>
      </c>
      <c r="C20">
        <v>2053</v>
      </c>
      <c r="D20">
        <v>313.29300000000001</v>
      </c>
      <c r="E20">
        <v>643190</v>
      </c>
      <c r="F20">
        <v>296</v>
      </c>
      <c r="G20">
        <v>643190</v>
      </c>
      <c r="H20">
        <v>255.864</v>
      </c>
      <c r="I20" t="s">
        <v>43</v>
      </c>
      <c r="J20" t="s">
        <v>27</v>
      </c>
      <c r="K20" t="s">
        <v>161</v>
      </c>
      <c r="L20">
        <f t="shared" si="0"/>
        <v>51.689696969696968</v>
      </c>
      <c r="M20" t="s">
        <v>15</v>
      </c>
      <c r="N20">
        <f t="shared" si="5"/>
        <v>55447.525274407002</v>
      </c>
      <c r="O20">
        <f t="shared" si="6"/>
        <v>1072.6997549804375</v>
      </c>
    </row>
    <row r="21" spans="1:15" x14ac:dyDescent="0.25">
      <c r="A21">
        <v>9</v>
      </c>
      <c r="B21" t="s">
        <v>184</v>
      </c>
      <c r="C21">
        <v>1547</v>
      </c>
      <c r="D21">
        <v>286.41300000000001</v>
      </c>
      <c r="E21">
        <v>443081</v>
      </c>
      <c r="F21">
        <v>286</v>
      </c>
      <c r="G21">
        <v>443081</v>
      </c>
      <c r="H21">
        <v>192.16300000000001</v>
      </c>
      <c r="I21" t="s">
        <v>124</v>
      </c>
      <c r="K21" t="s">
        <v>161</v>
      </c>
      <c r="L21">
        <f>H21/4.95</f>
        <v>38.820808080808085</v>
      </c>
      <c r="M21" t="s">
        <v>15</v>
      </c>
      <c r="O21">
        <f t="shared" si="4"/>
        <v>0</v>
      </c>
    </row>
    <row r="22" spans="1:15" x14ac:dyDescent="0.25">
      <c r="A22">
        <v>10</v>
      </c>
      <c r="B22" t="s">
        <v>185</v>
      </c>
      <c r="C22">
        <v>1682</v>
      </c>
      <c r="D22">
        <v>286.28199999999998</v>
      </c>
      <c r="E22">
        <v>481526</v>
      </c>
      <c r="F22">
        <v>286</v>
      </c>
      <c r="G22">
        <v>481526</v>
      </c>
      <c r="H22">
        <v>209.59899999999999</v>
      </c>
      <c r="I22" t="s">
        <v>124</v>
      </c>
      <c r="K22" t="s">
        <v>161</v>
      </c>
      <c r="L22">
        <f t="shared" si="0"/>
        <v>42.343232323232321</v>
      </c>
      <c r="M22" t="s">
        <v>15</v>
      </c>
      <c r="O22">
        <f t="shared" si="4"/>
        <v>0</v>
      </c>
    </row>
    <row r="23" spans="1:15" x14ac:dyDescent="0.25">
      <c r="A23">
        <v>11</v>
      </c>
      <c r="B23" t="s">
        <v>186</v>
      </c>
      <c r="C23">
        <v>1476</v>
      </c>
      <c r="D23">
        <v>286.15899999999999</v>
      </c>
      <c r="E23">
        <v>422371</v>
      </c>
      <c r="F23">
        <v>286</v>
      </c>
      <c r="G23">
        <v>422371</v>
      </c>
      <c r="H23">
        <v>183.518</v>
      </c>
      <c r="I23" t="s">
        <v>124</v>
      </c>
      <c r="K23" t="s">
        <v>161</v>
      </c>
      <c r="L23">
        <f t="shared" si="0"/>
        <v>37.074343434343433</v>
      </c>
      <c r="M23" t="s">
        <v>15</v>
      </c>
      <c r="O23">
        <f t="shared" si="4"/>
        <v>0</v>
      </c>
    </row>
    <row r="24" spans="1:15" x14ac:dyDescent="0.25">
      <c r="A24">
        <v>1</v>
      </c>
      <c r="B24" t="s">
        <v>187</v>
      </c>
      <c r="C24">
        <v>2163</v>
      </c>
      <c r="D24">
        <v>329.589</v>
      </c>
      <c r="E24">
        <v>712900</v>
      </c>
      <c r="F24">
        <v>302</v>
      </c>
      <c r="G24">
        <v>712900</v>
      </c>
      <c r="H24">
        <v>270.11500000000001</v>
      </c>
      <c r="I24" t="s">
        <v>44</v>
      </c>
      <c r="J24" t="s">
        <v>27</v>
      </c>
      <c r="K24" t="s">
        <v>161</v>
      </c>
      <c r="L24">
        <f t="shared" si="0"/>
        <v>54.568686868686868</v>
      </c>
      <c r="M24" t="s">
        <v>16</v>
      </c>
      <c r="N24">
        <f>G24-(((G$32/C$32*C24)+(G$33/C$33*C24)+(G$34/C$34*C24))/3)</f>
        <v>93573.074687438202</v>
      </c>
      <c r="O24">
        <f>N24/L24</f>
        <v>1714.7760017134151</v>
      </c>
    </row>
    <row r="25" spans="1:15" x14ac:dyDescent="0.25">
      <c r="A25">
        <v>2</v>
      </c>
      <c r="B25" t="s">
        <v>188</v>
      </c>
      <c r="C25">
        <v>1934</v>
      </c>
      <c r="D25">
        <v>348.16500000000002</v>
      </c>
      <c r="E25">
        <v>673352</v>
      </c>
      <c r="F25">
        <v>313</v>
      </c>
      <c r="G25">
        <v>673352</v>
      </c>
      <c r="H25">
        <v>240.92500000000001</v>
      </c>
      <c r="I25" t="s">
        <v>52</v>
      </c>
      <c r="J25" t="s">
        <v>27</v>
      </c>
      <c r="K25" t="s">
        <v>161</v>
      </c>
      <c r="L25">
        <f t="shared" si="0"/>
        <v>48.671717171717169</v>
      </c>
      <c r="M25" t="s">
        <v>16</v>
      </c>
      <c r="N25">
        <f>G25-(((G$32/C$32*C25)+(G$33/C$33*C25)+(G$34/C$34*C25))/3)</f>
        <v>119594.1296558046</v>
      </c>
      <c r="O25">
        <f>N25/L25</f>
        <v>2457.1586252826928</v>
      </c>
    </row>
    <row r="26" spans="1:15" x14ac:dyDescent="0.25">
      <c r="A26">
        <v>3</v>
      </c>
      <c r="B26" t="s">
        <v>189</v>
      </c>
      <c r="C26">
        <v>2039</v>
      </c>
      <c r="D26">
        <v>313.197</v>
      </c>
      <c r="E26">
        <v>638609</v>
      </c>
      <c r="F26">
        <v>294</v>
      </c>
      <c r="G26">
        <v>638609</v>
      </c>
      <c r="H26">
        <v>253.74600000000001</v>
      </c>
      <c r="I26" t="s">
        <v>53</v>
      </c>
      <c r="J26" t="s">
        <v>27</v>
      </c>
      <c r="K26" t="s">
        <v>161</v>
      </c>
      <c r="L26">
        <f>H26/4.95</f>
        <v>51.261818181818185</v>
      </c>
      <c r="M26" t="s">
        <v>16</v>
      </c>
      <c r="N26">
        <f>G26-(((G$32/C$32*C26)+(G$33/C$33*C26)+(G$34/C$34*C26))/3)</f>
        <v>54786.715805680375</v>
      </c>
      <c r="O26">
        <f>N26/L26</f>
        <v>1068.7626336498618</v>
      </c>
    </row>
    <row r="27" spans="1:15" x14ac:dyDescent="0.25">
      <c r="A27">
        <v>4</v>
      </c>
      <c r="B27" t="s">
        <v>190</v>
      </c>
      <c r="C27">
        <v>2017</v>
      </c>
      <c r="D27">
        <v>319.82400000000001</v>
      </c>
      <c r="E27">
        <v>645086</v>
      </c>
      <c r="F27">
        <v>296</v>
      </c>
      <c r="G27">
        <v>645086</v>
      </c>
      <c r="H27">
        <v>251.41300000000001</v>
      </c>
      <c r="I27" t="s">
        <v>54</v>
      </c>
      <c r="J27" t="s">
        <v>27</v>
      </c>
      <c r="K27" t="s">
        <v>161</v>
      </c>
      <c r="L27">
        <f>H27/4.95</f>
        <v>50.790505050505054</v>
      </c>
      <c r="M27" t="s">
        <v>16</v>
      </c>
      <c r="N27">
        <f t="shared" ref="N27:N31" si="7">G27-(((G$32/C$32*C27)+(G$33/C$33*C27)+(G$34/C$34*C27))/3)</f>
        <v>67562.926326658693</v>
      </c>
      <c r="O27">
        <f>N27/L27</f>
        <v>1330.2274954634825</v>
      </c>
    </row>
    <row r="28" spans="1:15" x14ac:dyDescent="0.25">
      <c r="A28">
        <v>5</v>
      </c>
      <c r="B28" t="s">
        <v>191</v>
      </c>
      <c r="C28">
        <v>1740</v>
      </c>
      <c r="D28">
        <v>301.404</v>
      </c>
      <c r="E28">
        <v>524443</v>
      </c>
      <c r="F28">
        <v>291</v>
      </c>
      <c r="G28">
        <v>524443</v>
      </c>
      <c r="H28">
        <v>216.738</v>
      </c>
      <c r="I28" t="s">
        <v>55</v>
      </c>
      <c r="J28" t="s">
        <v>27</v>
      </c>
      <c r="K28" t="s">
        <v>161</v>
      </c>
      <c r="L28">
        <f t="shared" si="0"/>
        <v>43.785454545454542</v>
      </c>
      <c r="M28" t="s">
        <v>16</v>
      </c>
      <c r="N28">
        <f t="shared" si="7"/>
        <v>26232.713340796356</v>
      </c>
      <c r="O28">
        <f>N28/L28</f>
        <v>599.11935625936371</v>
      </c>
    </row>
    <row r="29" spans="1:15" x14ac:dyDescent="0.25">
      <c r="A29">
        <v>6</v>
      </c>
      <c r="B29" t="s">
        <v>192</v>
      </c>
      <c r="C29">
        <v>2246</v>
      </c>
      <c r="D29">
        <v>319.09399999999999</v>
      </c>
      <c r="E29">
        <v>716685</v>
      </c>
      <c r="F29">
        <v>297</v>
      </c>
      <c r="G29">
        <v>716685</v>
      </c>
      <c r="H29">
        <v>280.64800000000002</v>
      </c>
      <c r="I29" t="s">
        <v>56</v>
      </c>
      <c r="J29" t="s">
        <v>27</v>
      </c>
      <c r="K29" t="s">
        <v>161</v>
      </c>
      <c r="L29">
        <f t="shared" si="0"/>
        <v>56.69656565656566</v>
      </c>
      <c r="M29" t="s">
        <v>16</v>
      </c>
      <c r="N29">
        <f t="shared" si="7"/>
        <v>73592.871358292294</v>
      </c>
      <c r="O29">
        <f t="shared" si="4"/>
        <v>1298.0128603216372</v>
      </c>
    </row>
    <row r="30" spans="1:15" x14ac:dyDescent="0.25">
      <c r="A30">
        <v>7</v>
      </c>
      <c r="B30" t="s">
        <v>193</v>
      </c>
      <c r="C30">
        <v>1491</v>
      </c>
      <c r="D30">
        <v>306.05</v>
      </c>
      <c r="E30">
        <v>456320</v>
      </c>
      <c r="F30">
        <v>292</v>
      </c>
      <c r="G30">
        <v>456320</v>
      </c>
      <c r="H30">
        <v>185.727</v>
      </c>
      <c r="I30" t="s">
        <v>57</v>
      </c>
      <c r="J30" t="s">
        <v>27</v>
      </c>
      <c r="K30" t="s">
        <v>161</v>
      </c>
      <c r="L30">
        <f t="shared" si="0"/>
        <v>37.520606060606063</v>
      </c>
      <c r="M30" t="s">
        <v>16</v>
      </c>
      <c r="N30">
        <f t="shared" si="7"/>
        <v>29405.323328234081</v>
      </c>
      <c r="O30">
        <f t="shared" si="4"/>
        <v>783.7113100128613</v>
      </c>
    </row>
    <row r="31" spans="1:15" x14ac:dyDescent="0.25">
      <c r="A31">
        <v>8</v>
      </c>
      <c r="B31" t="s">
        <v>194</v>
      </c>
      <c r="C31">
        <v>2007</v>
      </c>
      <c r="D31">
        <v>325.55</v>
      </c>
      <c r="E31">
        <v>653378</v>
      </c>
      <c r="F31">
        <v>303</v>
      </c>
      <c r="G31">
        <v>653378</v>
      </c>
      <c r="H31">
        <v>249.934</v>
      </c>
      <c r="I31" t="s">
        <v>58</v>
      </c>
      <c r="J31" t="s">
        <v>27</v>
      </c>
      <c r="K31" t="s">
        <v>161</v>
      </c>
      <c r="L31">
        <f t="shared" si="0"/>
        <v>50.49171717171717</v>
      </c>
      <c r="M31" t="s">
        <v>16</v>
      </c>
      <c r="N31">
        <f t="shared" si="7"/>
        <v>78718.203836194356</v>
      </c>
      <c r="O31">
        <f t="shared" si="4"/>
        <v>1559.0320204100365</v>
      </c>
    </row>
    <row r="32" spans="1:15" x14ac:dyDescent="0.25">
      <c r="A32">
        <v>9</v>
      </c>
      <c r="B32" t="s">
        <v>195</v>
      </c>
      <c r="C32">
        <v>1717</v>
      </c>
      <c r="D32">
        <v>286.50599999999997</v>
      </c>
      <c r="E32">
        <v>491930</v>
      </c>
      <c r="F32">
        <v>287</v>
      </c>
      <c r="G32">
        <v>491930</v>
      </c>
      <c r="H32">
        <v>213.67099999999999</v>
      </c>
      <c r="I32" t="s">
        <v>124</v>
      </c>
      <c r="K32" t="s">
        <v>161</v>
      </c>
      <c r="L32">
        <f t="shared" si="0"/>
        <v>43.165858585858579</v>
      </c>
      <c r="M32" t="s">
        <v>16</v>
      </c>
      <c r="O32">
        <f t="shared" si="4"/>
        <v>0</v>
      </c>
    </row>
    <row r="33" spans="1:15" x14ac:dyDescent="0.25">
      <c r="A33">
        <v>10</v>
      </c>
      <c r="B33" t="s">
        <v>196</v>
      </c>
      <c r="C33">
        <v>1677</v>
      </c>
      <c r="D33">
        <v>286.25</v>
      </c>
      <c r="E33">
        <v>480042</v>
      </c>
      <c r="F33">
        <v>286</v>
      </c>
      <c r="G33">
        <v>480042</v>
      </c>
      <c r="H33">
        <v>208.65899999999999</v>
      </c>
      <c r="I33" t="s">
        <v>124</v>
      </c>
      <c r="K33" t="s">
        <v>161</v>
      </c>
      <c r="L33">
        <f t="shared" si="0"/>
        <v>42.153333333333329</v>
      </c>
      <c r="M33" t="s">
        <v>16</v>
      </c>
      <c r="O33">
        <f t="shared" si="4"/>
        <v>0</v>
      </c>
    </row>
    <row r="34" spans="1:15" x14ac:dyDescent="0.25">
      <c r="A34">
        <v>11</v>
      </c>
      <c r="B34" t="s">
        <v>197</v>
      </c>
      <c r="C34">
        <v>1474</v>
      </c>
      <c r="D34">
        <v>286.22699999999998</v>
      </c>
      <c r="E34">
        <v>421899</v>
      </c>
      <c r="F34">
        <v>286</v>
      </c>
      <c r="G34">
        <v>421899</v>
      </c>
      <c r="H34">
        <v>183.11</v>
      </c>
      <c r="I34" t="s">
        <v>124</v>
      </c>
      <c r="K34" t="s">
        <v>161</v>
      </c>
      <c r="L34">
        <f>H34/4.95</f>
        <v>36.991919191919195</v>
      </c>
      <c r="M34" t="s">
        <v>16</v>
      </c>
      <c r="O34">
        <f t="shared" si="4"/>
        <v>0</v>
      </c>
    </row>
    <row r="35" spans="1:15" x14ac:dyDescent="0.25">
      <c r="A35">
        <v>1</v>
      </c>
      <c r="B35" t="s">
        <v>198</v>
      </c>
      <c r="C35">
        <v>2105</v>
      </c>
      <c r="D35">
        <v>313.17700000000002</v>
      </c>
      <c r="E35">
        <v>659237</v>
      </c>
      <c r="F35">
        <v>294</v>
      </c>
      <c r="G35">
        <v>659237</v>
      </c>
      <c r="H35">
        <v>263.19200000000001</v>
      </c>
      <c r="I35" t="s">
        <v>59</v>
      </c>
      <c r="J35" t="s">
        <v>27</v>
      </c>
      <c r="K35" t="s">
        <v>161</v>
      </c>
      <c r="L35">
        <f t="shared" si="0"/>
        <v>53.170101010101007</v>
      </c>
      <c r="M35" t="s">
        <v>17</v>
      </c>
      <c r="N35">
        <f>G35-(((G$43/C$43*C35)+(G$44/C$44*C35)+(G$45/C$45*C35))/3)</f>
        <v>56309.691532906727</v>
      </c>
      <c r="O35">
        <f t="shared" ref="O35:O42" si="8">N35/L35</f>
        <v>1059.0480451073297</v>
      </c>
    </row>
    <row r="36" spans="1:15" x14ac:dyDescent="0.25">
      <c r="A36">
        <v>2</v>
      </c>
      <c r="B36" t="s">
        <v>199</v>
      </c>
      <c r="C36">
        <v>2155</v>
      </c>
      <c r="D36">
        <v>332.197</v>
      </c>
      <c r="E36">
        <v>715885</v>
      </c>
      <c r="F36">
        <v>306</v>
      </c>
      <c r="G36">
        <v>715885</v>
      </c>
      <c r="H36">
        <v>268.88600000000002</v>
      </c>
      <c r="I36" t="s">
        <v>60</v>
      </c>
      <c r="J36" t="s">
        <v>27</v>
      </c>
      <c r="K36" t="s">
        <v>161</v>
      </c>
      <c r="L36">
        <f t="shared" si="0"/>
        <v>54.320404040404043</v>
      </c>
      <c r="M36" t="s">
        <v>17</v>
      </c>
      <c r="N36">
        <f t="shared" ref="N36:N42" si="9">G36-(((G$43/C$43*C36)+(G$44/C$44*C36)+(G$45/C$45*C36))/3)</f>
        <v>98636.377792595769</v>
      </c>
      <c r="O36">
        <f t="shared" si="8"/>
        <v>1815.8255545969259</v>
      </c>
    </row>
    <row r="37" spans="1:15" x14ac:dyDescent="0.25">
      <c r="A37">
        <v>3</v>
      </c>
      <c r="B37" t="s">
        <v>200</v>
      </c>
      <c r="C37">
        <v>1799</v>
      </c>
      <c r="D37">
        <v>324.97800000000001</v>
      </c>
      <c r="E37">
        <v>584635</v>
      </c>
      <c r="F37">
        <v>301</v>
      </c>
      <c r="G37">
        <v>584635</v>
      </c>
      <c r="H37">
        <v>224.315</v>
      </c>
      <c r="I37" t="s">
        <v>45</v>
      </c>
      <c r="J37" t="s">
        <v>27</v>
      </c>
      <c r="K37" t="s">
        <v>161</v>
      </c>
      <c r="L37">
        <f t="shared" si="0"/>
        <v>45.316161616161615</v>
      </c>
      <c r="M37" t="s">
        <v>17</v>
      </c>
      <c r="N37">
        <f t="shared" si="9"/>
        <v>69354.131623610156</v>
      </c>
      <c r="O37">
        <f t="shared" si="8"/>
        <v>1530.4502665308619</v>
      </c>
    </row>
    <row r="38" spans="1:15" x14ac:dyDescent="0.25">
      <c r="A38">
        <v>4</v>
      </c>
      <c r="B38" t="s">
        <v>201</v>
      </c>
      <c r="C38">
        <v>2240</v>
      </c>
      <c r="D38">
        <v>351.79700000000003</v>
      </c>
      <c r="E38">
        <v>788026</v>
      </c>
      <c r="F38">
        <v>311</v>
      </c>
      <c r="G38">
        <v>788026</v>
      </c>
      <c r="H38">
        <v>279.642</v>
      </c>
      <c r="I38" t="s">
        <v>61</v>
      </c>
      <c r="J38" t="s">
        <v>27</v>
      </c>
      <c r="K38" t="s">
        <v>161</v>
      </c>
      <c r="L38">
        <f t="shared" si="0"/>
        <v>56.493333333333332</v>
      </c>
      <c r="M38" t="s">
        <v>17</v>
      </c>
      <c r="N38">
        <f t="shared" si="9"/>
        <v>146431.14443406707</v>
      </c>
      <c r="O38">
        <f t="shared" si="8"/>
        <v>2592.0075129938709</v>
      </c>
    </row>
    <row r="39" spans="1:15" x14ac:dyDescent="0.25">
      <c r="A39">
        <v>5</v>
      </c>
      <c r="B39" t="s">
        <v>202</v>
      </c>
      <c r="C39">
        <v>2206</v>
      </c>
      <c r="D39">
        <v>332.36399999999998</v>
      </c>
      <c r="E39">
        <v>733194</v>
      </c>
      <c r="F39">
        <v>302</v>
      </c>
      <c r="G39">
        <v>733194</v>
      </c>
      <c r="H39">
        <v>274.70299999999997</v>
      </c>
      <c r="I39" t="s">
        <v>62</v>
      </c>
      <c r="J39" t="s">
        <v>27</v>
      </c>
      <c r="K39" t="s">
        <v>161</v>
      </c>
      <c r="L39">
        <f t="shared" si="0"/>
        <v>55.495555555555548</v>
      </c>
      <c r="M39" t="s">
        <v>17</v>
      </c>
      <c r="N39">
        <f t="shared" si="9"/>
        <v>101337.63777747855</v>
      </c>
      <c r="O39">
        <f t="shared" si="8"/>
        <v>1826.0496135772776</v>
      </c>
    </row>
    <row r="40" spans="1:15" x14ac:dyDescent="0.25">
      <c r="A40">
        <v>6</v>
      </c>
      <c r="B40" t="s">
        <v>203</v>
      </c>
      <c r="C40">
        <v>1967</v>
      </c>
      <c r="D40">
        <v>329.82600000000002</v>
      </c>
      <c r="E40">
        <v>648767</v>
      </c>
      <c r="F40">
        <v>301</v>
      </c>
      <c r="G40">
        <v>648767</v>
      </c>
      <c r="H40">
        <v>244.876</v>
      </c>
      <c r="I40" t="s">
        <v>63</v>
      </c>
      <c r="J40" t="s">
        <v>27</v>
      </c>
      <c r="K40" t="s">
        <v>161</v>
      </c>
      <c r="L40">
        <f t="shared" si="0"/>
        <v>49.469898989898986</v>
      </c>
      <c r="M40" t="s">
        <v>17</v>
      </c>
      <c r="N40">
        <f t="shared" si="9"/>
        <v>85366.517456165049</v>
      </c>
      <c r="O40">
        <f t="shared" si="8"/>
        <v>1725.6254651661127</v>
      </c>
    </row>
    <row r="41" spans="1:15" x14ac:dyDescent="0.25">
      <c r="A41">
        <v>7</v>
      </c>
      <c r="B41" t="s">
        <v>204</v>
      </c>
      <c r="C41">
        <v>2198</v>
      </c>
      <c r="D41">
        <v>303.23899999999998</v>
      </c>
      <c r="E41">
        <v>666519</v>
      </c>
      <c r="F41">
        <v>291</v>
      </c>
      <c r="G41">
        <v>666519</v>
      </c>
      <c r="H41">
        <v>274.57400000000001</v>
      </c>
      <c r="I41" t="s">
        <v>64</v>
      </c>
      <c r="J41" t="s">
        <v>27</v>
      </c>
      <c r="K41" t="s">
        <v>161</v>
      </c>
      <c r="L41">
        <f t="shared" si="0"/>
        <v>55.469494949494951</v>
      </c>
      <c r="M41" t="s">
        <v>17</v>
      </c>
      <c r="N41">
        <f t="shared" si="9"/>
        <v>36954.047975928173</v>
      </c>
      <c r="O41">
        <f t="shared" si="8"/>
        <v>666.20487548290976</v>
      </c>
    </row>
    <row r="42" spans="1:15" x14ac:dyDescent="0.25">
      <c r="A42">
        <v>8</v>
      </c>
      <c r="B42" t="s">
        <v>205</v>
      </c>
      <c r="C42">
        <v>2280</v>
      </c>
      <c r="D42">
        <v>334.238</v>
      </c>
      <c r="E42">
        <v>762062</v>
      </c>
      <c r="F42">
        <v>308</v>
      </c>
      <c r="G42">
        <v>762062</v>
      </c>
      <c r="H42">
        <v>285.16300000000001</v>
      </c>
      <c r="I42" t="s">
        <v>65</v>
      </c>
      <c r="J42" t="s">
        <v>27</v>
      </c>
      <c r="K42" t="s">
        <v>161</v>
      </c>
      <c r="L42">
        <f t="shared" si="0"/>
        <v>57.608686868686867</v>
      </c>
      <c r="M42" t="s">
        <v>17</v>
      </c>
      <c r="N42">
        <f t="shared" si="9"/>
        <v>109010.09344181826</v>
      </c>
      <c r="O42">
        <f t="shared" si="8"/>
        <v>1892.2509671205605</v>
      </c>
    </row>
    <row r="43" spans="1:15" x14ac:dyDescent="0.25">
      <c r="A43">
        <v>9</v>
      </c>
      <c r="B43" t="s">
        <v>206</v>
      </c>
      <c r="C43">
        <v>1602</v>
      </c>
      <c r="D43">
        <v>286.60399999999998</v>
      </c>
      <c r="E43">
        <v>459140</v>
      </c>
      <c r="F43">
        <v>287</v>
      </c>
      <c r="G43">
        <v>459140</v>
      </c>
      <c r="H43">
        <v>199.565</v>
      </c>
      <c r="I43" t="s">
        <v>124</v>
      </c>
      <c r="K43" t="s">
        <v>161</v>
      </c>
      <c r="L43">
        <f t="shared" si="0"/>
        <v>40.316161616161615</v>
      </c>
      <c r="M43" t="s">
        <v>17</v>
      </c>
      <c r="O43">
        <f t="shared" si="4"/>
        <v>0</v>
      </c>
    </row>
    <row r="44" spans="1:15" x14ac:dyDescent="0.25">
      <c r="A44">
        <v>10</v>
      </c>
      <c r="B44" t="s">
        <v>207</v>
      </c>
      <c r="C44">
        <v>1632</v>
      </c>
      <c r="D44">
        <v>286.38400000000001</v>
      </c>
      <c r="E44">
        <v>467379</v>
      </c>
      <c r="F44">
        <v>286</v>
      </c>
      <c r="G44">
        <v>467379</v>
      </c>
      <c r="H44">
        <v>203.21199999999999</v>
      </c>
      <c r="I44" t="s">
        <v>124</v>
      </c>
      <c r="K44" t="s">
        <v>161</v>
      </c>
      <c r="L44">
        <f t="shared" si="0"/>
        <v>41.052929292929292</v>
      </c>
      <c r="M44" t="s">
        <v>17</v>
      </c>
      <c r="O44">
        <f t="shared" si="4"/>
        <v>0</v>
      </c>
    </row>
    <row r="45" spans="1:15" x14ac:dyDescent="0.25">
      <c r="A45">
        <v>11</v>
      </c>
      <c r="B45" t="s">
        <v>208</v>
      </c>
      <c r="C45">
        <v>1467</v>
      </c>
      <c r="D45">
        <v>286.29000000000002</v>
      </c>
      <c r="E45">
        <v>419988</v>
      </c>
      <c r="F45">
        <v>286</v>
      </c>
      <c r="G45">
        <v>419988</v>
      </c>
      <c r="H45">
        <v>182.25700000000001</v>
      </c>
      <c r="I45" t="s">
        <v>124</v>
      </c>
      <c r="K45" t="s">
        <v>161</v>
      </c>
      <c r="L45">
        <f t="shared" si="0"/>
        <v>36.819595959595958</v>
      </c>
      <c r="M45" t="s">
        <v>17</v>
      </c>
      <c r="O45">
        <f t="shared" si="4"/>
        <v>0</v>
      </c>
    </row>
    <row r="46" spans="1:15" x14ac:dyDescent="0.25">
      <c r="A46">
        <v>1</v>
      </c>
      <c r="B46" t="s">
        <v>209</v>
      </c>
      <c r="C46">
        <v>1823</v>
      </c>
      <c r="D46">
        <v>349.82600000000002</v>
      </c>
      <c r="E46">
        <v>637733</v>
      </c>
      <c r="F46">
        <v>321</v>
      </c>
      <c r="G46">
        <v>637733</v>
      </c>
      <c r="H46">
        <v>227.33600000000001</v>
      </c>
      <c r="I46" t="s">
        <v>66</v>
      </c>
      <c r="J46" t="s">
        <v>27</v>
      </c>
      <c r="K46" t="s">
        <v>162</v>
      </c>
      <c r="L46">
        <f t="shared" si="0"/>
        <v>45.926464646464645</v>
      </c>
      <c r="M46" t="s">
        <v>19</v>
      </c>
      <c r="N46">
        <f>G46-(((G$54/C$54*C46)+(G$55/C$55*C46)+(G$56/C$56*C46))/3)</f>
        <v>116557.92055131076</v>
      </c>
      <c r="O46">
        <f>N46/L46</f>
        <v>2537.9249513011064</v>
      </c>
    </row>
    <row r="47" spans="1:15" x14ac:dyDescent="0.25">
      <c r="A47">
        <v>2</v>
      </c>
      <c r="B47" t="s">
        <v>210</v>
      </c>
      <c r="C47">
        <v>1975</v>
      </c>
      <c r="D47">
        <v>334.99</v>
      </c>
      <c r="E47">
        <v>661606</v>
      </c>
      <c r="F47">
        <v>312</v>
      </c>
      <c r="G47">
        <v>661606</v>
      </c>
      <c r="H47">
        <v>245.45099999999999</v>
      </c>
      <c r="I47" t="s">
        <v>67</v>
      </c>
      <c r="J47" t="s">
        <v>27</v>
      </c>
      <c r="K47" t="s">
        <v>162</v>
      </c>
      <c r="L47">
        <f t="shared" si="0"/>
        <v>49.586060606060606</v>
      </c>
      <c r="M47" t="s">
        <v>19</v>
      </c>
      <c r="N47">
        <f t="shared" ref="N47:N53" si="10">G47-(((G$54/C$54*C47)+(G$55/C$55*C47)+(G$56/C$56*C47))/3)</f>
        <v>96975.839873197256</v>
      </c>
      <c r="O47">
        <f>N47/L47</f>
        <v>1955.7076865538393</v>
      </c>
    </row>
    <row r="48" spans="1:15" x14ac:dyDescent="0.25">
      <c r="A48">
        <v>3</v>
      </c>
      <c r="B48" t="s">
        <v>211</v>
      </c>
      <c r="C48">
        <v>1910</v>
      </c>
      <c r="D48">
        <v>341.47899999999998</v>
      </c>
      <c r="E48">
        <v>652225</v>
      </c>
      <c r="F48">
        <v>315</v>
      </c>
      <c r="G48">
        <v>652225</v>
      </c>
      <c r="H48">
        <v>238.577</v>
      </c>
      <c r="I48" t="s">
        <v>68</v>
      </c>
      <c r="J48" t="s">
        <v>27</v>
      </c>
      <c r="K48" t="s">
        <v>162</v>
      </c>
      <c r="L48">
        <f t="shared" si="0"/>
        <v>48.197373737373738</v>
      </c>
      <c r="M48" t="s">
        <v>19</v>
      </c>
      <c r="N48">
        <f t="shared" si="10"/>
        <v>106177.60463686427</v>
      </c>
      <c r="O48">
        <f>N48/L48</f>
        <v>2202.9749009857537</v>
      </c>
    </row>
    <row r="49" spans="1:15" x14ac:dyDescent="0.25">
      <c r="A49">
        <v>4</v>
      </c>
      <c r="B49" t="s">
        <v>212</v>
      </c>
      <c r="C49">
        <v>2217</v>
      </c>
      <c r="D49">
        <v>344.70600000000002</v>
      </c>
      <c r="E49">
        <v>764214</v>
      </c>
      <c r="F49">
        <v>324</v>
      </c>
      <c r="G49">
        <v>764214</v>
      </c>
      <c r="H49">
        <v>275.91699999999997</v>
      </c>
      <c r="I49" t="s">
        <v>69</v>
      </c>
      <c r="J49" t="s">
        <v>27</v>
      </c>
      <c r="K49" t="s">
        <v>162</v>
      </c>
      <c r="L49">
        <f t="shared" si="0"/>
        <v>55.740808080808073</v>
      </c>
      <c r="M49" t="s">
        <v>19</v>
      </c>
      <c r="N49">
        <f t="shared" si="10"/>
        <v>130398.77721462201</v>
      </c>
      <c r="O49">
        <f t="shared" si="4"/>
        <v>2339.3772301539198</v>
      </c>
    </row>
    <row r="50" spans="1:15" x14ac:dyDescent="0.25">
      <c r="A50">
        <v>5</v>
      </c>
      <c r="B50" t="s">
        <v>213</v>
      </c>
      <c r="C50">
        <v>1962</v>
      </c>
      <c r="D50">
        <v>356.48399999999998</v>
      </c>
      <c r="E50">
        <v>699421</v>
      </c>
      <c r="F50">
        <v>330</v>
      </c>
      <c r="G50">
        <v>699421</v>
      </c>
      <c r="H50">
        <v>245.11500000000001</v>
      </c>
      <c r="I50" t="s">
        <v>46</v>
      </c>
      <c r="J50" t="s">
        <v>27</v>
      </c>
      <c r="K50" t="s">
        <v>162</v>
      </c>
      <c r="L50">
        <f t="shared" si="0"/>
        <v>49.518181818181816</v>
      </c>
      <c r="M50" t="s">
        <v>19</v>
      </c>
      <c r="N50">
        <f t="shared" si="10"/>
        <v>138507.39282593073</v>
      </c>
      <c r="O50">
        <f t="shared" si="4"/>
        <v>2797.1017460716689</v>
      </c>
    </row>
    <row r="51" spans="1:15" x14ac:dyDescent="0.25">
      <c r="A51">
        <v>6</v>
      </c>
      <c r="B51" t="s">
        <v>214</v>
      </c>
      <c r="C51">
        <v>1528</v>
      </c>
      <c r="D51">
        <v>304.94200000000001</v>
      </c>
      <c r="E51">
        <v>465951</v>
      </c>
      <c r="F51">
        <v>296</v>
      </c>
      <c r="G51">
        <v>465951</v>
      </c>
      <c r="H51">
        <v>190.41800000000001</v>
      </c>
      <c r="I51" t="s">
        <v>70</v>
      </c>
      <c r="J51" t="s">
        <v>27</v>
      </c>
      <c r="K51" t="s">
        <v>162</v>
      </c>
      <c r="L51">
        <f t="shared" si="0"/>
        <v>38.468282828282831</v>
      </c>
      <c r="M51" t="s">
        <v>19</v>
      </c>
      <c r="N51">
        <f t="shared" si="10"/>
        <v>29113.083709491417</v>
      </c>
      <c r="O51">
        <f t="shared" si="4"/>
        <v>756.80746758175439</v>
      </c>
    </row>
    <row r="52" spans="1:15" x14ac:dyDescent="0.25">
      <c r="A52">
        <v>7</v>
      </c>
      <c r="B52" t="s">
        <v>215</v>
      </c>
      <c r="C52">
        <v>1824</v>
      </c>
      <c r="D52">
        <v>332.96199999999999</v>
      </c>
      <c r="E52">
        <v>607323</v>
      </c>
      <c r="F52">
        <v>306</v>
      </c>
      <c r="G52">
        <v>607323</v>
      </c>
      <c r="H52">
        <v>228.25899999999999</v>
      </c>
      <c r="I52" t="s">
        <v>71</v>
      </c>
      <c r="J52" t="s">
        <v>27</v>
      </c>
      <c r="K52" t="s">
        <v>162</v>
      </c>
      <c r="L52">
        <f t="shared" si="0"/>
        <v>46.112929292929287</v>
      </c>
      <c r="M52" t="s">
        <v>19</v>
      </c>
      <c r="N52">
        <f t="shared" si="10"/>
        <v>85862.031862638891</v>
      </c>
      <c r="O52">
        <f t="shared" si="4"/>
        <v>1861.9947415876813</v>
      </c>
    </row>
    <row r="53" spans="1:15" x14ac:dyDescent="0.25">
      <c r="A53">
        <v>8</v>
      </c>
      <c r="B53" t="s">
        <v>216</v>
      </c>
      <c r="C53">
        <v>2203</v>
      </c>
      <c r="D53">
        <v>352.52699999999999</v>
      </c>
      <c r="E53">
        <v>776616</v>
      </c>
      <c r="F53">
        <v>326</v>
      </c>
      <c r="G53">
        <v>776616</v>
      </c>
      <c r="H53">
        <v>273.87</v>
      </c>
      <c r="I53" t="s">
        <v>72</v>
      </c>
      <c r="J53" t="s">
        <v>27</v>
      </c>
      <c r="K53" t="s">
        <v>162</v>
      </c>
      <c r="L53">
        <f t="shared" si="0"/>
        <v>55.327272727272728</v>
      </c>
      <c r="M53" t="s">
        <v>19</v>
      </c>
      <c r="N53">
        <f t="shared" si="10"/>
        <v>146803.21885602712</v>
      </c>
      <c r="O53">
        <f t="shared" si="4"/>
        <v>2653.3608403159683</v>
      </c>
    </row>
    <row r="54" spans="1:15" x14ac:dyDescent="0.25">
      <c r="A54">
        <v>9</v>
      </c>
      <c r="B54" t="s">
        <v>217</v>
      </c>
      <c r="C54">
        <v>1670</v>
      </c>
      <c r="D54">
        <v>285.88099999999997</v>
      </c>
      <c r="E54">
        <v>477422</v>
      </c>
      <c r="F54">
        <v>286</v>
      </c>
      <c r="G54">
        <v>477422</v>
      </c>
      <c r="H54">
        <v>207.197</v>
      </c>
      <c r="I54" t="s">
        <v>124</v>
      </c>
      <c r="K54" t="s">
        <v>162</v>
      </c>
      <c r="L54">
        <f t="shared" si="0"/>
        <v>41.857979797979795</v>
      </c>
      <c r="M54" t="s">
        <v>19</v>
      </c>
      <c r="O54">
        <f t="shared" si="4"/>
        <v>0</v>
      </c>
    </row>
    <row r="55" spans="1:15" x14ac:dyDescent="0.25">
      <c r="A55">
        <v>10</v>
      </c>
      <c r="B55" t="s">
        <v>218</v>
      </c>
      <c r="C55">
        <v>1495</v>
      </c>
      <c r="D55">
        <v>285.79500000000002</v>
      </c>
      <c r="E55">
        <v>427264</v>
      </c>
      <c r="F55">
        <v>286</v>
      </c>
      <c r="G55">
        <v>427264</v>
      </c>
      <c r="H55">
        <v>185.98599999999999</v>
      </c>
      <c r="I55" t="s">
        <v>124</v>
      </c>
      <c r="K55" t="s">
        <v>162</v>
      </c>
      <c r="L55">
        <f t="shared" si="0"/>
        <v>37.572929292929288</v>
      </c>
      <c r="M55" t="s">
        <v>19</v>
      </c>
      <c r="O55">
        <f t="shared" si="4"/>
        <v>0</v>
      </c>
    </row>
    <row r="56" spans="1:15" x14ac:dyDescent="0.25">
      <c r="A56">
        <v>11</v>
      </c>
      <c r="B56" t="s">
        <v>219</v>
      </c>
      <c r="C56">
        <v>1684</v>
      </c>
      <c r="D56">
        <v>285.98899999999998</v>
      </c>
      <c r="E56">
        <v>481606</v>
      </c>
      <c r="F56">
        <v>286</v>
      </c>
      <c r="G56">
        <v>481606</v>
      </c>
      <c r="H56">
        <v>209.435</v>
      </c>
      <c r="I56" t="s">
        <v>124</v>
      </c>
      <c r="K56" t="s">
        <v>162</v>
      </c>
      <c r="L56">
        <f t="shared" si="0"/>
        <v>42.310101010101008</v>
      </c>
      <c r="M56" t="s">
        <v>19</v>
      </c>
      <c r="O56">
        <f t="shared" si="4"/>
        <v>0</v>
      </c>
    </row>
    <row r="57" spans="1:15" x14ac:dyDescent="0.25">
      <c r="A57">
        <v>1</v>
      </c>
      <c r="B57" t="s">
        <v>220</v>
      </c>
      <c r="C57">
        <v>2052</v>
      </c>
      <c r="D57">
        <v>358.95600000000002</v>
      </c>
      <c r="E57">
        <v>736578</v>
      </c>
      <c r="F57">
        <v>332</v>
      </c>
      <c r="G57">
        <v>736578</v>
      </c>
      <c r="H57">
        <v>255.89</v>
      </c>
      <c r="I57" t="s">
        <v>73</v>
      </c>
      <c r="J57" t="s">
        <v>27</v>
      </c>
      <c r="K57" t="s">
        <v>162</v>
      </c>
      <c r="L57">
        <f t="shared" si="0"/>
        <v>51.694949494949491</v>
      </c>
      <c r="M57" t="s">
        <v>20</v>
      </c>
      <c r="N57">
        <f>G57-(((G$65/C$65*C57)+(G$66/C$66*C57)+(G$67/C$67*C57))/3)</f>
        <v>149560.50162269361</v>
      </c>
      <c r="O57">
        <f>N57/L57</f>
        <v>2893.1356560722711</v>
      </c>
    </row>
    <row r="58" spans="1:15" x14ac:dyDescent="0.25">
      <c r="A58">
        <v>2</v>
      </c>
      <c r="B58" t="s">
        <v>221</v>
      </c>
      <c r="C58">
        <v>1800</v>
      </c>
      <c r="D58">
        <v>323.38299999999998</v>
      </c>
      <c r="E58">
        <v>582090</v>
      </c>
      <c r="F58">
        <v>306</v>
      </c>
      <c r="G58">
        <v>582090</v>
      </c>
      <c r="H58">
        <v>223.761</v>
      </c>
      <c r="I58" t="s">
        <v>74</v>
      </c>
      <c r="J58" t="s">
        <v>27</v>
      </c>
      <c r="K58" t="s">
        <v>162</v>
      </c>
      <c r="L58">
        <f t="shared" si="0"/>
        <v>45.204242424242423</v>
      </c>
      <c r="M58" t="s">
        <v>20</v>
      </c>
      <c r="N58">
        <f t="shared" ref="N58:N64" si="11">G58-(((G$65/C$65*C58)+(G$66/C$66*C58)+(G$67/C$67*C58))/3)</f>
        <v>67162.369844468136</v>
      </c>
      <c r="O58">
        <f t="shared" si="4"/>
        <v>1485.7536868807222</v>
      </c>
    </row>
    <row r="59" spans="1:15" x14ac:dyDescent="0.25">
      <c r="A59">
        <v>3</v>
      </c>
      <c r="B59" t="s">
        <v>222</v>
      </c>
      <c r="C59">
        <v>2241</v>
      </c>
      <c r="D59">
        <v>361.86700000000002</v>
      </c>
      <c r="E59">
        <v>810945</v>
      </c>
      <c r="F59">
        <v>338</v>
      </c>
      <c r="G59">
        <v>810945</v>
      </c>
      <c r="H59">
        <v>279.375</v>
      </c>
      <c r="I59" t="s">
        <v>75</v>
      </c>
      <c r="J59" t="s">
        <v>27</v>
      </c>
      <c r="K59" t="s">
        <v>162</v>
      </c>
      <c r="L59">
        <f t="shared" si="0"/>
        <v>56.439393939393938</v>
      </c>
      <c r="M59" t="s">
        <v>20</v>
      </c>
      <c r="N59">
        <f t="shared" si="11"/>
        <v>169860.10045636282</v>
      </c>
      <c r="O59">
        <f t="shared" si="4"/>
        <v>3009.6017798979724</v>
      </c>
    </row>
    <row r="60" spans="1:15" x14ac:dyDescent="0.25">
      <c r="A60">
        <v>4</v>
      </c>
      <c r="B60" t="s">
        <v>223</v>
      </c>
      <c r="C60">
        <v>2439</v>
      </c>
      <c r="D60">
        <v>375.20499999999998</v>
      </c>
      <c r="E60">
        <v>915125</v>
      </c>
      <c r="F60">
        <v>348</v>
      </c>
      <c r="G60">
        <v>915125</v>
      </c>
      <c r="H60">
        <v>304.57299999999998</v>
      </c>
      <c r="I60" t="s">
        <v>76</v>
      </c>
      <c r="J60" t="s">
        <v>27</v>
      </c>
      <c r="K60" t="s">
        <v>162</v>
      </c>
      <c r="L60">
        <f t="shared" si="0"/>
        <v>61.529898989898982</v>
      </c>
      <c r="M60" t="s">
        <v>20</v>
      </c>
      <c r="N60">
        <f t="shared" si="11"/>
        <v>217398.06113925437</v>
      </c>
      <c r="O60">
        <f t="shared" si="4"/>
        <v>3533.2101093639594</v>
      </c>
    </row>
    <row r="61" spans="1:15" x14ac:dyDescent="0.25">
      <c r="A61">
        <v>5</v>
      </c>
      <c r="B61" t="s">
        <v>224</v>
      </c>
      <c r="C61">
        <v>1828</v>
      </c>
      <c r="D61">
        <v>359.197</v>
      </c>
      <c r="E61">
        <v>656613</v>
      </c>
      <c r="F61">
        <v>333</v>
      </c>
      <c r="G61">
        <v>656613</v>
      </c>
      <c r="H61">
        <v>227.398</v>
      </c>
      <c r="I61" t="s">
        <v>77</v>
      </c>
      <c r="J61" t="s">
        <v>27</v>
      </c>
      <c r="K61" t="s">
        <v>162</v>
      </c>
      <c r="L61">
        <f t="shared" si="0"/>
        <v>45.938989898989895</v>
      </c>
      <c r="M61" t="s">
        <v>20</v>
      </c>
      <c r="N61">
        <f t="shared" si="11"/>
        <v>133675.38448649319</v>
      </c>
      <c r="O61">
        <f t="shared" si="4"/>
        <v>2909.8459670188013</v>
      </c>
    </row>
    <row r="62" spans="1:15" x14ac:dyDescent="0.25">
      <c r="A62">
        <v>6</v>
      </c>
      <c r="B62" t="s">
        <v>225</v>
      </c>
      <c r="C62">
        <v>1489</v>
      </c>
      <c r="D62">
        <v>328.55099999999999</v>
      </c>
      <c r="E62">
        <v>489212</v>
      </c>
      <c r="F62">
        <v>310</v>
      </c>
      <c r="G62">
        <v>489212</v>
      </c>
      <c r="H62">
        <v>185.56700000000001</v>
      </c>
      <c r="I62" t="s">
        <v>78</v>
      </c>
      <c r="J62" t="s">
        <v>27</v>
      </c>
      <c r="K62" t="s">
        <v>162</v>
      </c>
      <c r="L62">
        <f t="shared" si="0"/>
        <v>37.488282828282827</v>
      </c>
      <c r="M62" t="s">
        <v>20</v>
      </c>
      <c r="N62">
        <f t="shared" si="11"/>
        <v>63252.421499118384</v>
      </c>
      <c r="O62">
        <f t="shared" si="4"/>
        <v>1687.2584372255628</v>
      </c>
    </row>
    <row r="63" spans="1:15" x14ac:dyDescent="0.25">
      <c r="A63">
        <v>7</v>
      </c>
      <c r="B63" t="s">
        <v>226</v>
      </c>
      <c r="C63">
        <v>1928</v>
      </c>
      <c r="D63">
        <v>314.387</v>
      </c>
      <c r="E63">
        <v>606138</v>
      </c>
      <c r="F63">
        <v>300</v>
      </c>
      <c r="G63">
        <v>606138</v>
      </c>
      <c r="H63">
        <v>239.839</v>
      </c>
      <c r="I63" t="s">
        <v>47</v>
      </c>
      <c r="J63" t="s">
        <v>27</v>
      </c>
      <c r="K63" t="s">
        <v>162</v>
      </c>
      <c r="L63">
        <f t="shared" si="0"/>
        <v>48.452323232323231</v>
      </c>
      <c r="M63" t="s">
        <v>20</v>
      </c>
      <c r="N63">
        <f t="shared" si="11"/>
        <v>54593.293922297074</v>
      </c>
      <c r="O63">
        <f t="shared" si="4"/>
        <v>1126.7425436037113</v>
      </c>
    </row>
    <row r="64" spans="1:15" x14ac:dyDescent="0.25">
      <c r="A64">
        <v>8</v>
      </c>
      <c r="B64" t="s">
        <v>227</v>
      </c>
      <c r="C64">
        <v>1748</v>
      </c>
      <c r="D64">
        <v>324.91199999999998</v>
      </c>
      <c r="E64">
        <v>567946</v>
      </c>
      <c r="F64">
        <v>303</v>
      </c>
      <c r="G64">
        <v>567946</v>
      </c>
      <c r="H64">
        <v>216.768</v>
      </c>
      <c r="I64" t="s">
        <v>79</v>
      </c>
      <c r="J64" t="s">
        <v>27</v>
      </c>
      <c r="K64" t="s">
        <v>162</v>
      </c>
      <c r="L64">
        <f t="shared" si="0"/>
        <v>43.791515151515149</v>
      </c>
      <c r="M64" t="s">
        <v>20</v>
      </c>
      <c r="N64">
        <f t="shared" si="11"/>
        <v>67894.056937850139</v>
      </c>
      <c r="O64">
        <f t="shared" si="4"/>
        <v>1550.3929631788742</v>
      </c>
    </row>
    <row r="65" spans="1:15" x14ac:dyDescent="0.25">
      <c r="A65">
        <v>9</v>
      </c>
      <c r="B65" t="s">
        <v>228</v>
      </c>
      <c r="C65">
        <v>1529</v>
      </c>
      <c r="D65">
        <v>285.88299999999998</v>
      </c>
      <c r="E65">
        <v>437115</v>
      </c>
      <c r="F65">
        <v>286</v>
      </c>
      <c r="G65">
        <v>437115</v>
      </c>
      <c r="H65">
        <v>190.89400000000001</v>
      </c>
      <c r="I65" t="s">
        <v>124</v>
      </c>
      <c r="K65" t="s">
        <v>162</v>
      </c>
      <c r="L65">
        <f t="shared" si="0"/>
        <v>38.564444444444447</v>
      </c>
      <c r="M65" t="s">
        <v>20</v>
      </c>
      <c r="O65">
        <f t="shared" si="4"/>
        <v>0</v>
      </c>
    </row>
    <row r="66" spans="1:15" x14ac:dyDescent="0.25">
      <c r="A66">
        <v>10</v>
      </c>
      <c r="B66" t="s">
        <v>229</v>
      </c>
      <c r="C66">
        <v>1331</v>
      </c>
      <c r="D66">
        <v>285.69600000000003</v>
      </c>
      <c r="E66">
        <v>380261</v>
      </c>
      <c r="F66">
        <v>286</v>
      </c>
      <c r="G66">
        <v>380261</v>
      </c>
      <c r="H66">
        <v>165.18700000000001</v>
      </c>
      <c r="I66" t="s">
        <v>124</v>
      </c>
      <c r="K66" t="s">
        <v>162</v>
      </c>
      <c r="L66">
        <f t="shared" ref="L66:L129" si="12">H66/4.95</f>
        <v>33.371111111111112</v>
      </c>
      <c r="M66" t="s">
        <v>20</v>
      </c>
      <c r="O66">
        <f t="shared" si="4"/>
        <v>0</v>
      </c>
    </row>
    <row r="67" spans="1:15" x14ac:dyDescent="0.25">
      <c r="A67">
        <v>11</v>
      </c>
      <c r="B67" t="s">
        <v>230</v>
      </c>
      <c r="C67">
        <v>1585</v>
      </c>
      <c r="D67">
        <v>286.63400000000001</v>
      </c>
      <c r="E67">
        <v>454315</v>
      </c>
      <c r="F67">
        <v>287</v>
      </c>
      <c r="G67">
        <v>454315</v>
      </c>
      <c r="H67">
        <v>196.85900000000001</v>
      </c>
      <c r="I67" t="s">
        <v>124</v>
      </c>
      <c r="K67" t="s">
        <v>162</v>
      </c>
      <c r="L67">
        <f t="shared" si="12"/>
        <v>39.769494949494948</v>
      </c>
      <c r="M67" t="s">
        <v>20</v>
      </c>
      <c r="O67">
        <f t="shared" si="4"/>
        <v>0</v>
      </c>
    </row>
    <row r="68" spans="1:15" x14ac:dyDescent="0.25">
      <c r="A68">
        <v>1</v>
      </c>
      <c r="B68" t="s">
        <v>231</v>
      </c>
      <c r="C68">
        <v>1527</v>
      </c>
      <c r="D68">
        <v>369.66500000000002</v>
      </c>
      <c r="E68">
        <v>564479</v>
      </c>
      <c r="F68">
        <v>328</v>
      </c>
      <c r="G68">
        <v>564479</v>
      </c>
      <c r="H68">
        <v>190.334</v>
      </c>
      <c r="I68" t="s">
        <v>80</v>
      </c>
      <c r="J68" t="s">
        <v>27</v>
      </c>
      <c r="K68" t="s">
        <v>162</v>
      </c>
      <c r="L68">
        <f t="shared" si="12"/>
        <v>38.451313131313128</v>
      </c>
      <c r="M68" t="s">
        <v>21</v>
      </c>
      <c r="N68">
        <f>G68-(((G$76/C$76*C68)+(G$77/C$77*C68)+(G$78/C$78*C68))/3)</f>
        <v>128053.97821957624</v>
      </c>
      <c r="O68">
        <f>N68/L68</f>
        <v>3330.2888195850578</v>
      </c>
    </row>
    <row r="69" spans="1:15" x14ac:dyDescent="0.25">
      <c r="A69">
        <v>2</v>
      </c>
      <c r="B69" t="s">
        <v>232</v>
      </c>
      <c r="C69">
        <v>1581</v>
      </c>
      <c r="D69">
        <v>366.10899999999998</v>
      </c>
      <c r="E69">
        <v>578818</v>
      </c>
      <c r="F69">
        <v>329</v>
      </c>
      <c r="G69">
        <v>578818</v>
      </c>
      <c r="H69">
        <v>197.17699999999999</v>
      </c>
      <c r="I69" t="s">
        <v>81</v>
      </c>
      <c r="J69" t="s">
        <v>27</v>
      </c>
      <c r="K69" t="s">
        <v>162</v>
      </c>
      <c r="L69">
        <f t="shared" si="12"/>
        <v>39.833737373737371</v>
      </c>
      <c r="M69" t="s">
        <v>21</v>
      </c>
      <c r="N69">
        <f t="shared" ref="N69:N75" si="13">G69-(((G$76/C$76*C69)+(G$77/C$77*C69)+(G$78/C$78*C69))/3)</f>
        <v>126959.48039629991</v>
      </c>
      <c r="O69">
        <f>N69/L69</f>
        <v>3187.2349612869889</v>
      </c>
    </row>
    <row r="70" spans="1:15" x14ac:dyDescent="0.25">
      <c r="A70">
        <v>3</v>
      </c>
      <c r="B70" t="s">
        <v>233</v>
      </c>
      <c r="C70">
        <v>1881</v>
      </c>
      <c r="D70">
        <v>346.32600000000002</v>
      </c>
      <c r="E70">
        <v>651440</v>
      </c>
      <c r="F70">
        <v>322</v>
      </c>
      <c r="G70">
        <v>651440</v>
      </c>
      <c r="H70">
        <v>234.285</v>
      </c>
      <c r="I70" t="s">
        <v>82</v>
      </c>
      <c r="J70" t="s">
        <v>27</v>
      </c>
      <c r="K70" t="s">
        <v>162</v>
      </c>
      <c r="L70">
        <f t="shared" si="12"/>
        <v>47.330303030303028</v>
      </c>
      <c r="M70" t="s">
        <v>21</v>
      </c>
      <c r="N70">
        <f t="shared" si="13"/>
        <v>113839.82582254277</v>
      </c>
      <c r="O70">
        <f t="shared" si="4"/>
        <v>2405.2207261309377</v>
      </c>
    </row>
    <row r="71" spans="1:15" x14ac:dyDescent="0.25">
      <c r="A71">
        <v>4</v>
      </c>
      <c r="B71" t="s">
        <v>234</v>
      </c>
      <c r="C71">
        <v>1837</v>
      </c>
      <c r="D71">
        <v>363.45299999999997</v>
      </c>
      <c r="E71">
        <v>667663</v>
      </c>
      <c r="F71">
        <v>337</v>
      </c>
      <c r="G71">
        <v>667663</v>
      </c>
      <c r="H71">
        <v>228.749</v>
      </c>
      <c r="I71" t="s">
        <v>83</v>
      </c>
      <c r="J71" t="s">
        <v>27</v>
      </c>
      <c r="K71" t="s">
        <v>162</v>
      </c>
      <c r="L71">
        <f t="shared" si="12"/>
        <v>46.211919191919186</v>
      </c>
      <c r="M71" t="s">
        <v>21</v>
      </c>
      <c r="N71">
        <f t="shared" si="13"/>
        <v>142638.26849336049</v>
      </c>
      <c r="O71">
        <f t="shared" si="4"/>
        <v>3086.6120902916932</v>
      </c>
    </row>
    <row r="72" spans="1:15" x14ac:dyDescent="0.25">
      <c r="A72">
        <v>5</v>
      </c>
      <c r="B72" t="s">
        <v>235</v>
      </c>
      <c r="C72">
        <v>2462</v>
      </c>
      <c r="D72">
        <v>369.89499999999998</v>
      </c>
      <c r="E72">
        <v>910681</v>
      </c>
      <c r="F72">
        <v>342</v>
      </c>
      <c r="G72">
        <v>910681</v>
      </c>
      <c r="H72">
        <v>307.58300000000003</v>
      </c>
      <c r="I72" t="s">
        <v>84</v>
      </c>
      <c r="J72" t="s">
        <v>27</v>
      </c>
      <c r="K72" t="s">
        <v>162</v>
      </c>
      <c r="L72">
        <f t="shared" si="12"/>
        <v>62.137979797979803</v>
      </c>
      <c r="M72" t="s">
        <v>21</v>
      </c>
      <c r="N72">
        <f t="shared" si="13"/>
        <v>207027.82146469981</v>
      </c>
      <c r="O72">
        <f t="shared" si="4"/>
        <v>3331.7436797555911</v>
      </c>
    </row>
    <row r="73" spans="1:15" x14ac:dyDescent="0.25">
      <c r="A73">
        <v>6</v>
      </c>
      <c r="B73" t="s">
        <v>236</v>
      </c>
      <c r="C73">
        <v>1703</v>
      </c>
      <c r="D73">
        <v>395.90499999999997</v>
      </c>
      <c r="E73">
        <v>674226</v>
      </c>
      <c r="F73">
        <v>358</v>
      </c>
      <c r="G73">
        <v>674226</v>
      </c>
      <c r="H73">
        <v>212.79</v>
      </c>
      <c r="I73" t="s">
        <v>85</v>
      </c>
      <c r="J73" t="s">
        <v>27</v>
      </c>
      <c r="K73" t="s">
        <v>162</v>
      </c>
      <c r="L73">
        <f t="shared" si="12"/>
        <v>42.987878787878785</v>
      </c>
      <c r="M73" t="s">
        <v>21</v>
      </c>
      <c r="N73">
        <f t="shared" si="13"/>
        <v>187499.20753630548</v>
      </c>
      <c r="O73">
        <f t="shared" si="4"/>
        <v>4361.6761939222342</v>
      </c>
    </row>
    <row r="74" spans="1:15" x14ac:dyDescent="0.25">
      <c r="A74">
        <v>7</v>
      </c>
      <c r="B74" t="s">
        <v>237</v>
      </c>
      <c r="C74">
        <v>1434</v>
      </c>
      <c r="D74">
        <v>323.81700000000001</v>
      </c>
      <c r="E74">
        <v>464354</v>
      </c>
      <c r="F74">
        <v>307</v>
      </c>
      <c r="G74">
        <v>464354</v>
      </c>
      <c r="H74">
        <v>178.42400000000001</v>
      </c>
      <c r="I74" t="s">
        <v>86</v>
      </c>
      <c r="J74" t="s">
        <v>27</v>
      </c>
      <c r="K74" t="s">
        <v>162</v>
      </c>
      <c r="L74">
        <f>H74/4.95</f>
        <v>36.045252525252522</v>
      </c>
      <c r="M74" t="s">
        <v>21</v>
      </c>
      <c r="N74">
        <f>G74-(((G$76/C$76*C74)+(G$77/C$77*C74)+(G$78/C$78*C74))/3)</f>
        <v>54508.891137440922</v>
      </c>
      <c r="O74">
        <f>N74/L74</f>
        <v>1512.2349635157411</v>
      </c>
    </row>
    <row r="75" spans="1:15" x14ac:dyDescent="0.25">
      <c r="A75">
        <v>8</v>
      </c>
      <c r="B75" t="s">
        <v>238</v>
      </c>
      <c r="C75">
        <v>1976</v>
      </c>
      <c r="D75">
        <v>340.40300000000002</v>
      </c>
      <c r="E75">
        <v>672637</v>
      </c>
      <c r="F75">
        <v>316</v>
      </c>
      <c r="G75">
        <v>672637</v>
      </c>
      <c r="H75">
        <v>246.34200000000001</v>
      </c>
      <c r="I75" t="s">
        <v>87</v>
      </c>
      <c r="J75" t="s">
        <v>27</v>
      </c>
      <c r="K75" t="s">
        <v>162</v>
      </c>
      <c r="L75">
        <f t="shared" si="12"/>
        <v>49.766060606060606</v>
      </c>
      <c r="M75" t="s">
        <v>21</v>
      </c>
      <c r="N75">
        <f t="shared" si="13"/>
        <v>107885.30187418638</v>
      </c>
      <c r="O75">
        <f t="shared" si="4"/>
        <v>2167.8489428405328</v>
      </c>
    </row>
    <row r="76" spans="1:15" x14ac:dyDescent="0.25">
      <c r="A76">
        <v>9</v>
      </c>
      <c r="B76" t="s">
        <v>239</v>
      </c>
      <c r="C76">
        <v>1341</v>
      </c>
      <c r="D76">
        <v>285.61399999999998</v>
      </c>
      <c r="E76">
        <v>383008</v>
      </c>
      <c r="F76">
        <v>286</v>
      </c>
      <c r="G76">
        <v>383008</v>
      </c>
      <c r="H76">
        <v>166.83500000000001</v>
      </c>
      <c r="I76" t="s">
        <v>124</v>
      </c>
      <c r="K76" t="s">
        <v>162</v>
      </c>
      <c r="L76">
        <f t="shared" si="12"/>
        <v>33.704040404040406</v>
      </c>
      <c r="M76" t="s">
        <v>21</v>
      </c>
      <c r="O76">
        <f t="shared" si="4"/>
        <v>0</v>
      </c>
    </row>
    <row r="77" spans="1:15" x14ac:dyDescent="0.25">
      <c r="A77">
        <v>10</v>
      </c>
      <c r="B77" t="s">
        <v>240</v>
      </c>
      <c r="C77">
        <v>1438</v>
      </c>
      <c r="D77">
        <v>285.798</v>
      </c>
      <c r="E77">
        <v>410977</v>
      </c>
      <c r="F77">
        <v>286</v>
      </c>
      <c r="G77">
        <v>410977</v>
      </c>
      <c r="H77">
        <v>178.97900000000001</v>
      </c>
      <c r="I77" t="s">
        <v>124</v>
      </c>
      <c r="K77" t="s">
        <v>162</v>
      </c>
      <c r="L77">
        <f t="shared" si="12"/>
        <v>36.157373737373739</v>
      </c>
      <c r="M77" t="s">
        <v>21</v>
      </c>
      <c r="O77">
        <f t="shared" ref="O77:O140" si="14">N77/L77</f>
        <v>0</v>
      </c>
    </row>
    <row r="78" spans="1:15" x14ac:dyDescent="0.25">
      <c r="A78">
        <v>11</v>
      </c>
      <c r="B78" t="s">
        <v>241</v>
      </c>
      <c r="C78">
        <v>1349</v>
      </c>
      <c r="D78">
        <v>286.005</v>
      </c>
      <c r="E78">
        <v>385821</v>
      </c>
      <c r="F78">
        <v>286</v>
      </c>
      <c r="G78">
        <v>385821</v>
      </c>
      <c r="H78">
        <v>168.203</v>
      </c>
      <c r="I78" t="s">
        <v>124</v>
      </c>
      <c r="K78" t="s">
        <v>162</v>
      </c>
      <c r="L78">
        <f t="shared" si="12"/>
        <v>33.980404040404039</v>
      </c>
      <c r="M78" t="s">
        <v>21</v>
      </c>
      <c r="O78">
        <f t="shared" si="14"/>
        <v>0</v>
      </c>
    </row>
    <row r="79" spans="1:15" x14ac:dyDescent="0.25">
      <c r="A79">
        <v>1</v>
      </c>
      <c r="B79" t="s">
        <v>242</v>
      </c>
      <c r="C79">
        <v>1618</v>
      </c>
      <c r="D79">
        <v>356.75200000000001</v>
      </c>
      <c r="E79">
        <v>577224</v>
      </c>
      <c r="F79">
        <v>325</v>
      </c>
      <c r="G79">
        <v>577224</v>
      </c>
      <c r="H79">
        <v>201.35499999999999</v>
      </c>
      <c r="I79" t="s">
        <v>48</v>
      </c>
      <c r="J79" t="s">
        <v>27</v>
      </c>
      <c r="K79" t="s">
        <v>162</v>
      </c>
      <c r="L79">
        <f t="shared" si="12"/>
        <v>40.677777777777777</v>
      </c>
      <c r="M79" t="s">
        <v>22</v>
      </c>
      <c r="N79">
        <f t="shared" ref="N79:N86" si="15">G79-(((G$87/C$87*C79)+(G$88/C$88*C79)+(G$89/C$89*C79))/3)</f>
        <v>114873.63257406419</v>
      </c>
      <c r="O79">
        <f t="shared" si="14"/>
        <v>2823.9898748062765</v>
      </c>
    </row>
    <row r="80" spans="1:15" x14ac:dyDescent="0.25">
      <c r="A80">
        <v>2</v>
      </c>
      <c r="B80" t="s">
        <v>243</v>
      </c>
      <c r="C80">
        <v>2318</v>
      </c>
      <c r="D80">
        <v>351.69799999999998</v>
      </c>
      <c r="E80">
        <v>815236</v>
      </c>
      <c r="F80">
        <v>323</v>
      </c>
      <c r="G80">
        <v>815236</v>
      </c>
      <c r="H80">
        <v>289.12700000000001</v>
      </c>
      <c r="I80" t="s">
        <v>88</v>
      </c>
      <c r="J80" t="s">
        <v>27</v>
      </c>
      <c r="K80" t="s">
        <v>162</v>
      </c>
      <c r="L80">
        <f t="shared" si="12"/>
        <v>58.409494949494949</v>
      </c>
      <c r="M80" t="s">
        <v>22</v>
      </c>
      <c r="N80">
        <f t="shared" si="15"/>
        <v>152857.66149980272</v>
      </c>
      <c r="O80">
        <f t="shared" si="14"/>
        <v>2617.0002262812654</v>
      </c>
    </row>
    <row r="81" spans="1:15" x14ac:dyDescent="0.25">
      <c r="A81">
        <v>3</v>
      </c>
      <c r="B81" t="s">
        <v>244</v>
      </c>
      <c r="C81">
        <v>1837</v>
      </c>
      <c r="D81">
        <v>372.87599999999998</v>
      </c>
      <c r="E81">
        <v>684973</v>
      </c>
      <c r="F81">
        <v>346</v>
      </c>
      <c r="G81">
        <v>684973</v>
      </c>
      <c r="H81">
        <v>229.11699999999999</v>
      </c>
      <c r="I81" t="s">
        <v>89</v>
      </c>
      <c r="J81" t="s">
        <v>27</v>
      </c>
      <c r="K81" t="s">
        <v>162</v>
      </c>
      <c r="L81">
        <f t="shared" si="12"/>
        <v>46.286262626262619</v>
      </c>
      <c r="M81" t="s">
        <v>22</v>
      </c>
      <c r="N81">
        <f t="shared" si="15"/>
        <v>160042.45305225963</v>
      </c>
      <c r="O81">
        <f t="shared" si="14"/>
        <v>3457.6663565282597</v>
      </c>
    </row>
    <row r="82" spans="1:15" x14ac:dyDescent="0.25">
      <c r="A82">
        <v>4</v>
      </c>
      <c r="B82" t="s">
        <v>245</v>
      </c>
      <c r="C82">
        <v>1815</v>
      </c>
      <c r="D82">
        <v>359.49700000000001</v>
      </c>
      <c r="E82">
        <v>652487</v>
      </c>
      <c r="F82">
        <v>337</v>
      </c>
      <c r="G82">
        <v>652487</v>
      </c>
      <c r="H82">
        <v>225.905</v>
      </c>
      <c r="I82" t="s">
        <v>90</v>
      </c>
      <c r="J82" t="s">
        <v>27</v>
      </c>
      <c r="K82" t="s">
        <v>162</v>
      </c>
      <c r="L82">
        <f t="shared" si="12"/>
        <v>45.637373737373736</v>
      </c>
      <c r="M82" t="s">
        <v>22</v>
      </c>
      <c r="N82">
        <f t="shared" si="15"/>
        <v>133843.04642887926</v>
      </c>
      <c r="O82">
        <f t="shared" si="14"/>
        <v>2932.7508458110815</v>
      </c>
    </row>
    <row r="83" spans="1:15" x14ac:dyDescent="0.25">
      <c r="A83">
        <v>5</v>
      </c>
      <c r="B83" t="s">
        <v>246</v>
      </c>
      <c r="C83">
        <v>1306</v>
      </c>
      <c r="D83">
        <v>299.31900000000002</v>
      </c>
      <c r="E83">
        <v>390911</v>
      </c>
      <c r="F83">
        <v>294</v>
      </c>
      <c r="G83">
        <v>390911</v>
      </c>
      <c r="H83">
        <v>162.56899999999999</v>
      </c>
      <c r="I83" t="s">
        <v>91</v>
      </c>
      <c r="J83" t="s">
        <v>27</v>
      </c>
      <c r="K83" t="s">
        <v>162</v>
      </c>
      <c r="L83">
        <f t="shared" si="12"/>
        <v>32.842222222222219</v>
      </c>
      <c r="M83" t="s">
        <v>22</v>
      </c>
      <c r="N83">
        <f t="shared" si="15"/>
        <v>17715.956824306457</v>
      </c>
      <c r="O83">
        <f t="shared" si="14"/>
        <v>539.42625150131312</v>
      </c>
    </row>
    <row r="84" spans="1:15" x14ac:dyDescent="0.25">
      <c r="A84">
        <v>6</v>
      </c>
      <c r="B84" t="s">
        <v>247</v>
      </c>
      <c r="C84">
        <v>1658</v>
      </c>
      <c r="D84">
        <v>341.11599999999999</v>
      </c>
      <c r="E84">
        <v>565570</v>
      </c>
      <c r="F84">
        <v>312</v>
      </c>
      <c r="G84">
        <v>565570</v>
      </c>
      <c r="H84">
        <v>206.386</v>
      </c>
      <c r="I84" t="s">
        <v>92</v>
      </c>
      <c r="J84" t="s">
        <v>27</v>
      </c>
      <c r="K84" t="s">
        <v>162</v>
      </c>
      <c r="L84">
        <f t="shared" si="12"/>
        <v>41.694141414141413</v>
      </c>
      <c r="M84" t="s">
        <v>22</v>
      </c>
      <c r="N84">
        <f t="shared" si="15"/>
        <v>91789.462798392167</v>
      </c>
      <c r="O84">
        <f t="shared" si="14"/>
        <v>2201.4954544011766</v>
      </c>
    </row>
    <row r="85" spans="1:15" x14ac:dyDescent="0.25">
      <c r="A85">
        <v>7</v>
      </c>
      <c r="B85" t="s">
        <v>248</v>
      </c>
      <c r="C85">
        <v>1813</v>
      </c>
      <c r="D85">
        <v>316.22500000000002</v>
      </c>
      <c r="E85">
        <v>573316</v>
      </c>
      <c r="F85">
        <v>304</v>
      </c>
      <c r="G85">
        <v>573316</v>
      </c>
      <c r="H85">
        <v>225.11099999999999</v>
      </c>
      <c r="I85" t="s">
        <v>93</v>
      </c>
      <c r="J85" t="s">
        <v>27</v>
      </c>
      <c r="K85" t="s">
        <v>162</v>
      </c>
      <c r="L85">
        <f t="shared" si="12"/>
        <v>45.476969696969697</v>
      </c>
      <c r="M85" t="s">
        <v>22</v>
      </c>
      <c r="N85">
        <f t="shared" si="15"/>
        <v>55243.55491766287</v>
      </c>
      <c r="O85">
        <f t="shared" si="14"/>
        <v>1214.7589271178717</v>
      </c>
    </row>
    <row r="86" spans="1:15" x14ac:dyDescent="0.25">
      <c r="A86">
        <v>8</v>
      </c>
      <c r="B86" t="s">
        <v>249</v>
      </c>
      <c r="C86">
        <v>2293</v>
      </c>
      <c r="D86">
        <v>391.05799999999999</v>
      </c>
      <c r="E86">
        <v>896695</v>
      </c>
      <c r="F86">
        <v>352</v>
      </c>
      <c r="G86">
        <v>896695</v>
      </c>
      <c r="H86">
        <v>286.173</v>
      </c>
      <c r="I86" t="s">
        <v>94</v>
      </c>
      <c r="J86" t="s">
        <v>27</v>
      </c>
      <c r="K86" t="s">
        <v>162</v>
      </c>
      <c r="L86">
        <f t="shared" si="12"/>
        <v>57.812727272727273</v>
      </c>
      <c r="M86" t="s">
        <v>22</v>
      </c>
      <c r="N86">
        <f t="shared" si="15"/>
        <v>241460.51760959777</v>
      </c>
      <c r="O86">
        <f t="shared" si="14"/>
        <v>4176.5979395942632</v>
      </c>
    </row>
    <row r="87" spans="1:15" x14ac:dyDescent="0.25">
      <c r="A87">
        <v>9</v>
      </c>
      <c r="B87" t="s">
        <v>250</v>
      </c>
      <c r="C87">
        <v>1383</v>
      </c>
      <c r="D87">
        <v>285.92099999999999</v>
      </c>
      <c r="E87">
        <v>395429</v>
      </c>
      <c r="F87">
        <v>286</v>
      </c>
      <c r="G87">
        <v>395429</v>
      </c>
      <c r="H87">
        <v>171.232</v>
      </c>
      <c r="I87" t="s">
        <v>124</v>
      </c>
      <c r="K87" t="s">
        <v>162</v>
      </c>
      <c r="L87">
        <f t="shared" si="12"/>
        <v>34.592323232323231</v>
      </c>
      <c r="M87" t="s">
        <v>22</v>
      </c>
      <c r="O87">
        <f t="shared" si="14"/>
        <v>0</v>
      </c>
    </row>
    <row r="88" spans="1:15" x14ac:dyDescent="0.25">
      <c r="A88">
        <v>10</v>
      </c>
      <c r="B88" t="s">
        <v>251</v>
      </c>
      <c r="C88">
        <v>1404</v>
      </c>
      <c r="D88">
        <v>285.62299999999999</v>
      </c>
      <c r="E88">
        <v>401015</v>
      </c>
      <c r="F88">
        <v>286</v>
      </c>
      <c r="G88">
        <v>401015</v>
      </c>
      <c r="H88">
        <v>174.57300000000001</v>
      </c>
      <c r="I88" t="s">
        <v>124</v>
      </c>
      <c r="K88" t="s">
        <v>162</v>
      </c>
      <c r="L88">
        <f t="shared" si="12"/>
        <v>35.267272727272726</v>
      </c>
      <c r="M88" t="s">
        <v>22</v>
      </c>
      <c r="O88">
        <f t="shared" si="14"/>
        <v>0</v>
      </c>
    </row>
    <row r="89" spans="1:15" x14ac:dyDescent="0.25">
      <c r="A89">
        <v>11</v>
      </c>
      <c r="B89" t="s">
        <v>252</v>
      </c>
      <c r="C89">
        <v>1555</v>
      </c>
      <c r="D89">
        <v>285.71800000000002</v>
      </c>
      <c r="E89">
        <v>444292</v>
      </c>
      <c r="F89">
        <v>286</v>
      </c>
      <c r="G89">
        <v>444292</v>
      </c>
      <c r="H89">
        <v>193.26599999999999</v>
      </c>
      <c r="I89" t="s">
        <v>124</v>
      </c>
      <c r="K89" t="s">
        <v>162</v>
      </c>
      <c r="L89">
        <f t="shared" si="12"/>
        <v>39.043636363636359</v>
      </c>
      <c r="M89" t="s">
        <v>22</v>
      </c>
      <c r="O89">
        <f t="shared" si="14"/>
        <v>0</v>
      </c>
    </row>
    <row r="90" spans="1:15" x14ac:dyDescent="0.25">
      <c r="A90">
        <v>1</v>
      </c>
      <c r="B90" t="s">
        <v>253</v>
      </c>
      <c r="C90">
        <v>2314</v>
      </c>
      <c r="D90">
        <v>352.57299999999998</v>
      </c>
      <c r="E90">
        <v>815855</v>
      </c>
      <c r="F90">
        <v>322</v>
      </c>
      <c r="G90">
        <v>815855</v>
      </c>
      <c r="H90">
        <v>288.005</v>
      </c>
      <c r="I90" t="s">
        <v>95</v>
      </c>
      <c r="J90" t="s">
        <v>27</v>
      </c>
      <c r="K90" t="s">
        <v>163</v>
      </c>
      <c r="L90">
        <f t="shared" si="12"/>
        <v>58.182828282828282</v>
      </c>
      <c r="M90" t="s">
        <v>23</v>
      </c>
      <c r="N90">
        <f t="shared" ref="N90:N97" si="16">G90-(((G$98/C$98*C90)+(G$99/C$99*C90)+(G$100/C$100*C90))/3)</f>
        <v>154360.9451205167</v>
      </c>
      <c r="O90">
        <f t="shared" si="14"/>
        <v>2653.0326846636608</v>
      </c>
    </row>
    <row r="91" spans="1:15" x14ac:dyDescent="0.25">
      <c r="A91">
        <v>2</v>
      </c>
      <c r="B91" t="s">
        <v>254</v>
      </c>
      <c r="C91">
        <v>2123</v>
      </c>
      <c r="D91">
        <v>365.49099999999999</v>
      </c>
      <c r="E91">
        <v>775937</v>
      </c>
      <c r="F91">
        <v>334</v>
      </c>
      <c r="G91">
        <v>775937</v>
      </c>
      <c r="H91">
        <v>264.983</v>
      </c>
      <c r="I91" t="s">
        <v>96</v>
      </c>
      <c r="J91" t="s">
        <v>27</v>
      </c>
      <c r="K91" t="s">
        <v>163</v>
      </c>
      <c r="L91">
        <f t="shared" si="12"/>
        <v>53.531919191919194</v>
      </c>
      <c r="M91" t="s">
        <v>23</v>
      </c>
      <c r="N91">
        <f t="shared" si="16"/>
        <v>169043.36192344723</v>
      </c>
      <c r="O91">
        <f t="shared" si="14"/>
        <v>3157.8049970038219</v>
      </c>
    </row>
    <row r="92" spans="1:15" x14ac:dyDescent="0.25">
      <c r="A92">
        <v>3</v>
      </c>
      <c r="B92" t="s">
        <v>255</v>
      </c>
      <c r="C92">
        <v>2013</v>
      </c>
      <c r="D92">
        <v>359.09100000000001</v>
      </c>
      <c r="E92">
        <v>722850</v>
      </c>
      <c r="F92">
        <v>331</v>
      </c>
      <c r="G92">
        <v>722850</v>
      </c>
      <c r="H92">
        <v>251.15799999999999</v>
      </c>
      <c r="I92" t="s">
        <v>49</v>
      </c>
      <c r="J92" t="s">
        <v>27</v>
      </c>
      <c r="K92" t="s">
        <v>163</v>
      </c>
      <c r="L92">
        <f t="shared" si="12"/>
        <v>50.738989898989892</v>
      </c>
      <c r="M92" t="s">
        <v>23</v>
      </c>
      <c r="N92">
        <f t="shared" si="16"/>
        <v>147401.62814503023</v>
      </c>
      <c r="O92">
        <f t="shared" si="14"/>
        <v>2905.0958333714225</v>
      </c>
    </row>
    <row r="93" spans="1:15" x14ac:dyDescent="0.25">
      <c r="A93">
        <v>4</v>
      </c>
      <c r="B93" t="s">
        <v>256</v>
      </c>
      <c r="C93">
        <v>1869</v>
      </c>
      <c r="D93">
        <v>370.20100000000002</v>
      </c>
      <c r="E93">
        <v>691906</v>
      </c>
      <c r="F93">
        <v>345</v>
      </c>
      <c r="G93">
        <v>691906</v>
      </c>
      <c r="H93">
        <v>233.74299999999999</v>
      </c>
      <c r="I93" t="s">
        <v>97</v>
      </c>
      <c r="J93" t="s">
        <v>27</v>
      </c>
      <c r="K93" t="s">
        <v>163</v>
      </c>
      <c r="L93">
        <f t="shared" si="12"/>
        <v>47.220808080808077</v>
      </c>
      <c r="M93" t="s">
        <v>23</v>
      </c>
      <c r="N93">
        <f t="shared" si="16"/>
        <v>157622.34028964816</v>
      </c>
      <c r="O93">
        <f t="shared" si="14"/>
        <v>3337.9848142351148</v>
      </c>
    </row>
    <row r="94" spans="1:15" x14ac:dyDescent="0.25">
      <c r="A94">
        <v>5</v>
      </c>
      <c r="B94" t="s">
        <v>257</v>
      </c>
      <c r="C94">
        <v>1671</v>
      </c>
      <c r="D94">
        <v>305.8</v>
      </c>
      <c r="E94">
        <v>510992</v>
      </c>
      <c r="F94">
        <v>295</v>
      </c>
      <c r="G94">
        <v>510992</v>
      </c>
      <c r="H94">
        <v>208.506</v>
      </c>
      <c r="I94" t="s">
        <v>98</v>
      </c>
      <c r="J94" t="s">
        <v>27</v>
      </c>
      <c r="K94" t="s">
        <v>163</v>
      </c>
      <c r="L94">
        <f t="shared" si="12"/>
        <v>42.122424242424238</v>
      </c>
      <c r="M94" t="s">
        <v>23</v>
      </c>
      <c r="N94">
        <f t="shared" si="16"/>
        <v>33309.819488497509</v>
      </c>
      <c r="O94">
        <f t="shared" si="14"/>
        <v>790.78590768641038</v>
      </c>
    </row>
    <row r="95" spans="1:15" x14ac:dyDescent="0.25">
      <c r="A95">
        <v>6</v>
      </c>
      <c r="B95" t="s">
        <v>258</v>
      </c>
      <c r="C95">
        <v>2340</v>
      </c>
      <c r="D95">
        <v>360.25200000000001</v>
      </c>
      <c r="E95">
        <v>842990</v>
      </c>
      <c r="F95">
        <v>333</v>
      </c>
      <c r="G95">
        <v>842990</v>
      </c>
      <c r="H95">
        <v>290.65600000000001</v>
      </c>
      <c r="I95" t="s">
        <v>99</v>
      </c>
      <c r="J95" t="s">
        <v>27</v>
      </c>
      <c r="K95" t="s">
        <v>163</v>
      </c>
      <c r="L95">
        <f t="shared" si="12"/>
        <v>58.718383838383836</v>
      </c>
      <c r="M95" t="s">
        <v>23</v>
      </c>
      <c r="N95">
        <f t="shared" si="16"/>
        <v>174063.4276499605</v>
      </c>
      <c r="O95">
        <f t="shared" si="14"/>
        <v>2964.3770191129875</v>
      </c>
    </row>
    <row r="96" spans="1:15" x14ac:dyDescent="0.25">
      <c r="A96">
        <v>7</v>
      </c>
      <c r="B96" t="s">
        <v>259</v>
      </c>
      <c r="C96">
        <v>1853</v>
      </c>
      <c r="D96">
        <v>363.42599999999999</v>
      </c>
      <c r="E96">
        <v>673428</v>
      </c>
      <c r="F96">
        <v>338</v>
      </c>
      <c r="G96">
        <v>673428</v>
      </c>
      <c r="H96">
        <v>230.66900000000001</v>
      </c>
      <c r="I96" t="s">
        <v>100</v>
      </c>
      <c r="J96" t="s">
        <v>27</v>
      </c>
      <c r="K96" t="s">
        <v>163</v>
      </c>
      <c r="L96">
        <f t="shared" si="12"/>
        <v>46.599797979797984</v>
      </c>
      <c r="M96" t="s">
        <v>23</v>
      </c>
      <c r="N96">
        <f t="shared" si="16"/>
        <v>143718.1971946056</v>
      </c>
      <c r="O96">
        <f t="shared" si="14"/>
        <v>3084.0948550229882</v>
      </c>
    </row>
    <row r="97" spans="1:15" x14ac:dyDescent="0.25">
      <c r="A97">
        <v>8</v>
      </c>
      <c r="B97" t="s">
        <v>260</v>
      </c>
      <c r="C97">
        <v>2011</v>
      </c>
      <c r="D97">
        <v>332.99400000000003</v>
      </c>
      <c r="E97">
        <v>669651</v>
      </c>
      <c r="F97">
        <v>311</v>
      </c>
      <c r="G97">
        <v>669651</v>
      </c>
      <c r="H97">
        <v>250.262</v>
      </c>
      <c r="I97" t="s">
        <v>101</v>
      </c>
      <c r="J97" t="s">
        <v>27</v>
      </c>
      <c r="K97" t="s">
        <v>163</v>
      </c>
      <c r="L97">
        <f t="shared" si="12"/>
        <v>50.557979797979797</v>
      </c>
      <c r="M97" t="s">
        <v>23</v>
      </c>
      <c r="N97">
        <f t="shared" si="16"/>
        <v>94774.360258149914</v>
      </c>
      <c r="O97">
        <f t="shared" si="14"/>
        <v>1874.5677860715653</v>
      </c>
    </row>
    <row r="98" spans="1:15" x14ac:dyDescent="0.25">
      <c r="A98">
        <v>9</v>
      </c>
      <c r="B98" t="s">
        <v>261</v>
      </c>
      <c r="C98">
        <v>1560</v>
      </c>
      <c r="D98">
        <v>285.47300000000001</v>
      </c>
      <c r="E98">
        <v>445338</v>
      </c>
      <c r="F98">
        <v>285</v>
      </c>
      <c r="G98">
        <v>445338</v>
      </c>
      <c r="H98">
        <v>194.18</v>
      </c>
      <c r="I98" t="s">
        <v>124</v>
      </c>
      <c r="K98" t="s">
        <v>163</v>
      </c>
      <c r="L98">
        <f t="shared" si="12"/>
        <v>39.228282828282829</v>
      </c>
      <c r="M98" t="s">
        <v>23</v>
      </c>
      <c r="O98">
        <f t="shared" si="14"/>
        <v>0</v>
      </c>
    </row>
    <row r="99" spans="1:15" x14ac:dyDescent="0.25">
      <c r="A99">
        <v>10</v>
      </c>
      <c r="B99" t="s">
        <v>262</v>
      </c>
      <c r="C99">
        <v>1421</v>
      </c>
      <c r="D99">
        <v>285.678</v>
      </c>
      <c r="E99">
        <v>405948</v>
      </c>
      <c r="F99">
        <v>286</v>
      </c>
      <c r="G99">
        <v>405948</v>
      </c>
      <c r="H99">
        <v>176.54599999999999</v>
      </c>
      <c r="I99" t="s">
        <v>124</v>
      </c>
      <c r="K99" t="s">
        <v>163</v>
      </c>
      <c r="L99">
        <f t="shared" si="12"/>
        <v>35.665858585858579</v>
      </c>
      <c r="M99" t="s">
        <v>23</v>
      </c>
      <c r="O99">
        <f t="shared" si="14"/>
        <v>0</v>
      </c>
    </row>
    <row r="100" spans="1:15" x14ac:dyDescent="0.25">
      <c r="A100">
        <v>11</v>
      </c>
      <c r="B100" t="s">
        <v>263</v>
      </c>
      <c r="C100">
        <v>1616</v>
      </c>
      <c r="D100">
        <v>286.447</v>
      </c>
      <c r="E100">
        <v>462899</v>
      </c>
      <c r="F100">
        <v>286</v>
      </c>
      <c r="G100">
        <v>462899</v>
      </c>
      <c r="H100">
        <v>200.83600000000001</v>
      </c>
      <c r="I100" t="s">
        <v>124</v>
      </c>
      <c r="K100" t="s">
        <v>163</v>
      </c>
      <c r="L100">
        <f t="shared" si="12"/>
        <v>40.572929292929295</v>
      </c>
      <c r="M100" t="s">
        <v>23</v>
      </c>
      <c r="O100">
        <f t="shared" si="14"/>
        <v>0</v>
      </c>
    </row>
    <row r="101" spans="1:15" x14ac:dyDescent="0.25">
      <c r="A101">
        <v>1</v>
      </c>
      <c r="B101" t="s">
        <v>264</v>
      </c>
      <c r="C101">
        <v>2150</v>
      </c>
      <c r="D101">
        <v>344.87200000000001</v>
      </c>
      <c r="E101">
        <v>741474</v>
      </c>
      <c r="F101">
        <v>318</v>
      </c>
      <c r="G101">
        <v>741474</v>
      </c>
      <c r="H101">
        <v>267.42200000000003</v>
      </c>
      <c r="I101" t="s">
        <v>102</v>
      </c>
      <c r="J101" t="s">
        <v>27</v>
      </c>
      <c r="K101" t="s">
        <v>163</v>
      </c>
      <c r="L101">
        <f t="shared" si="12"/>
        <v>54.024646464646466</v>
      </c>
      <c r="M101" t="s">
        <v>24</v>
      </c>
      <c r="N101">
        <f t="shared" ref="N101:N108" si="17">G101-(((G$109/C$109*C101)+(G$110/C$110*C101)+(G$111/C$111*C101))/3)</f>
        <v>127174.44331141037</v>
      </c>
      <c r="O101">
        <f t="shared" si="14"/>
        <v>2354.0078766574229</v>
      </c>
    </row>
    <row r="102" spans="1:15" x14ac:dyDescent="0.25">
      <c r="A102">
        <v>2</v>
      </c>
      <c r="B102" t="s">
        <v>265</v>
      </c>
      <c r="C102">
        <v>2354</v>
      </c>
      <c r="D102">
        <v>357.75799999999998</v>
      </c>
      <c r="E102">
        <v>842163</v>
      </c>
      <c r="F102">
        <v>327</v>
      </c>
      <c r="G102">
        <v>842163</v>
      </c>
      <c r="H102">
        <v>293.02800000000002</v>
      </c>
      <c r="I102" t="s">
        <v>103</v>
      </c>
      <c r="J102" t="s">
        <v>27</v>
      </c>
      <c r="K102" t="s">
        <v>163</v>
      </c>
      <c r="L102">
        <f t="shared" si="12"/>
        <v>59.197575757575763</v>
      </c>
      <c r="M102" t="s">
        <v>24</v>
      </c>
      <c r="N102">
        <f t="shared" si="17"/>
        <v>169576.41560700478</v>
      </c>
      <c r="O102">
        <f t="shared" si="14"/>
        <v>2864.5837846713407</v>
      </c>
    </row>
    <row r="103" spans="1:15" x14ac:dyDescent="0.25">
      <c r="A103">
        <v>3</v>
      </c>
      <c r="B103" t="s">
        <v>266</v>
      </c>
      <c r="C103">
        <v>1818</v>
      </c>
      <c r="D103">
        <v>329.017</v>
      </c>
      <c r="E103">
        <v>598152</v>
      </c>
      <c r="F103">
        <v>311</v>
      </c>
      <c r="G103">
        <v>598152</v>
      </c>
      <c r="H103">
        <v>226.02500000000001</v>
      </c>
      <c r="I103" t="s">
        <v>104</v>
      </c>
      <c r="J103" t="s">
        <v>27</v>
      </c>
      <c r="K103" t="s">
        <v>163</v>
      </c>
      <c r="L103">
        <f t="shared" si="12"/>
        <v>45.661616161616159</v>
      </c>
      <c r="M103" t="s">
        <v>24</v>
      </c>
      <c r="N103">
        <f t="shared" si="17"/>
        <v>78711.723693090316</v>
      </c>
      <c r="O103">
        <f t="shared" si="14"/>
        <v>1723.8050316593169</v>
      </c>
    </row>
    <row r="104" spans="1:15" x14ac:dyDescent="0.25">
      <c r="A104">
        <v>4</v>
      </c>
      <c r="B104" t="s">
        <v>267</v>
      </c>
      <c r="C104">
        <v>2140</v>
      </c>
      <c r="D104">
        <v>379.45</v>
      </c>
      <c r="E104">
        <v>812022</v>
      </c>
      <c r="F104">
        <v>355</v>
      </c>
      <c r="G104">
        <v>812022</v>
      </c>
      <c r="H104">
        <v>267.81400000000002</v>
      </c>
      <c r="I104" t="s">
        <v>105</v>
      </c>
      <c r="J104" t="s">
        <v>27</v>
      </c>
      <c r="K104" t="s">
        <v>163</v>
      </c>
      <c r="L104">
        <f t="shared" si="12"/>
        <v>54.103838383838387</v>
      </c>
      <c r="M104" t="s">
        <v>24</v>
      </c>
      <c r="N104">
        <f t="shared" si="17"/>
        <v>200579.6505518225</v>
      </c>
      <c r="O104">
        <f t="shared" si="14"/>
        <v>3707.3090661112615</v>
      </c>
    </row>
    <row r="105" spans="1:15" x14ac:dyDescent="0.25">
      <c r="A105">
        <v>5</v>
      </c>
      <c r="B105" t="s">
        <v>268</v>
      </c>
      <c r="C105">
        <v>2228</v>
      </c>
      <c r="D105">
        <v>370.06799999999998</v>
      </c>
      <c r="E105">
        <v>824511</v>
      </c>
      <c r="F105">
        <v>341</v>
      </c>
      <c r="G105">
        <v>824511</v>
      </c>
      <c r="H105">
        <v>277.89499999999998</v>
      </c>
      <c r="I105" t="s">
        <v>50</v>
      </c>
      <c r="J105" t="s">
        <v>27</v>
      </c>
      <c r="K105" t="s">
        <v>163</v>
      </c>
      <c r="L105">
        <f t="shared" si="12"/>
        <v>56.140404040404036</v>
      </c>
      <c r="M105" t="s">
        <v>24</v>
      </c>
      <c r="N105">
        <f t="shared" si="17"/>
        <v>187925.2268361965</v>
      </c>
      <c r="O105">
        <f t="shared" si="14"/>
        <v>3347.4149331192457</v>
      </c>
    </row>
    <row r="106" spans="1:15" x14ac:dyDescent="0.25">
      <c r="A106">
        <v>6</v>
      </c>
      <c r="B106" t="s">
        <v>269</v>
      </c>
      <c r="C106">
        <v>2109</v>
      </c>
      <c r="D106">
        <v>358.54</v>
      </c>
      <c r="E106">
        <v>756161</v>
      </c>
      <c r="F106">
        <v>339</v>
      </c>
      <c r="G106">
        <v>756161</v>
      </c>
      <c r="H106">
        <v>262.50099999999998</v>
      </c>
      <c r="I106" t="s">
        <v>106</v>
      </c>
      <c r="J106" t="s">
        <v>27</v>
      </c>
      <c r="K106" t="s">
        <v>163</v>
      </c>
      <c r="L106">
        <f t="shared" si="12"/>
        <v>53.030505050505042</v>
      </c>
      <c r="M106" t="s">
        <v>24</v>
      </c>
      <c r="N106">
        <f t="shared" si="17"/>
        <v>153575.99299709976</v>
      </c>
      <c r="O106">
        <f t="shared" si="14"/>
        <v>2895.9934070180452</v>
      </c>
    </row>
    <row r="107" spans="1:15" x14ac:dyDescent="0.25">
      <c r="A107">
        <v>7</v>
      </c>
      <c r="B107" t="s">
        <v>270</v>
      </c>
      <c r="C107">
        <v>2368</v>
      </c>
      <c r="D107">
        <v>358.29500000000002</v>
      </c>
      <c r="E107">
        <v>848442</v>
      </c>
      <c r="F107">
        <v>332</v>
      </c>
      <c r="G107">
        <v>848442</v>
      </c>
      <c r="H107">
        <v>295.024</v>
      </c>
      <c r="I107" t="s">
        <v>107</v>
      </c>
      <c r="J107" t="s">
        <v>27</v>
      </c>
      <c r="K107" t="s">
        <v>163</v>
      </c>
      <c r="L107">
        <f t="shared" si="12"/>
        <v>59.600808080808079</v>
      </c>
      <c r="M107" t="s">
        <v>24</v>
      </c>
      <c r="N107">
        <f t="shared" si="17"/>
        <v>171855.32547042787</v>
      </c>
      <c r="O107">
        <f t="shared" si="14"/>
        <v>2883.4395204411098</v>
      </c>
    </row>
    <row r="108" spans="1:15" x14ac:dyDescent="0.25">
      <c r="A108">
        <v>8</v>
      </c>
      <c r="B108" t="s">
        <v>271</v>
      </c>
      <c r="C108">
        <v>1462</v>
      </c>
      <c r="D108">
        <v>287.55500000000001</v>
      </c>
      <c r="E108">
        <v>420405</v>
      </c>
      <c r="F108">
        <v>287</v>
      </c>
      <c r="G108">
        <v>420405</v>
      </c>
      <c r="H108">
        <v>182.41900000000001</v>
      </c>
      <c r="I108" t="s">
        <v>108</v>
      </c>
      <c r="J108" t="s">
        <v>27</v>
      </c>
      <c r="K108" t="s">
        <v>163</v>
      </c>
      <c r="L108">
        <f t="shared" si="12"/>
        <v>36.852323232323236</v>
      </c>
      <c r="M108" t="s">
        <v>24</v>
      </c>
      <c r="N108">
        <f t="shared" si="17"/>
        <v>2681.3014517591218</v>
      </c>
      <c r="O108">
        <f t="shared" si="14"/>
        <v>72.758003202559223</v>
      </c>
    </row>
    <row r="109" spans="1:15" x14ac:dyDescent="0.25">
      <c r="A109">
        <v>9</v>
      </c>
      <c r="B109" t="s">
        <v>272</v>
      </c>
      <c r="C109">
        <v>1506</v>
      </c>
      <c r="D109">
        <v>285.39999999999998</v>
      </c>
      <c r="E109">
        <v>429813</v>
      </c>
      <c r="F109">
        <v>285</v>
      </c>
      <c r="G109">
        <v>429813</v>
      </c>
      <c r="H109">
        <v>187.255</v>
      </c>
      <c r="I109" t="s">
        <v>124</v>
      </c>
      <c r="K109" t="s">
        <v>163</v>
      </c>
      <c r="L109">
        <f t="shared" si="12"/>
        <v>37.829292929292926</v>
      </c>
      <c r="M109" t="s">
        <v>24</v>
      </c>
      <c r="O109">
        <f t="shared" si="14"/>
        <v>0</v>
      </c>
    </row>
    <row r="110" spans="1:15" x14ac:dyDescent="0.25">
      <c r="A110">
        <v>10</v>
      </c>
      <c r="B110" t="s">
        <v>273</v>
      </c>
      <c r="C110">
        <v>1400</v>
      </c>
      <c r="D110">
        <v>285.94099999999997</v>
      </c>
      <c r="E110">
        <v>400317</v>
      </c>
      <c r="F110">
        <v>286</v>
      </c>
      <c r="G110">
        <v>400317</v>
      </c>
      <c r="H110">
        <v>173.96799999999999</v>
      </c>
      <c r="I110" t="s">
        <v>124</v>
      </c>
      <c r="K110" t="s">
        <v>163</v>
      </c>
      <c r="L110">
        <f t="shared" si="12"/>
        <v>35.145050505050499</v>
      </c>
      <c r="M110" t="s">
        <v>24</v>
      </c>
      <c r="O110">
        <f t="shared" si="14"/>
        <v>0</v>
      </c>
    </row>
    <row r="111" spans="1:15" x14ac:dyDescent="0.25">
      <c r="A111">
        <v>11</v>
      </c>
      <c r="B111" t="s">
        <v>274</v>
      </c>
      <c r="C111">
        <v>1548</v>
      </c>
      <c r="D111">
        <v>285.82100000000003</v>
      </c>
      <c r="E111">
        <v>442451</v>
      </c>
      <c r="F111">
        <v>286</v>
      </c>
      <c r="G111">
        <v>442451</v>
      </c>
      <c r="H111">
        <v>192.54900000000001</v>
      </c>
      <c r="I111" t="s">
        <v>124</v>
      </c>
      <c r="K111" t="s">
        <v>163</v>
      </c>
      <c r="L111">
        <f t="shared" si="12"/>
        <v>38.898787878787878</v>
      </c>
      <c r="M111" t="s">
        <v>24</v>
      </c>
      <c r="O111">
        <f t="shared" si="14"/>
        <v>0</v>
      </c>
    </row>
    <row r="112" spans="1:15" x14ac:dyDescent="0.25">
      <c r="A112">
        <v>1</v>
      </c>
      <c r="B112" t="s">
        <v>275</v>
      </c>
      <c r="C112">
        <v>1923</v>
      </c>
      <c r="D112">
        <v>325.98399999999998</v>
      </c>
      <c r="E112">
        <v>626868</v>
      </c>
      <c r="F112">
        <v>305</v>
      </c>
      <c r="G112">
        <v>626868</v>
      </c>
      <c r="H112">
        <v>238.97200000000001</v>
      </c>
      <c r="I112" t="s">
        <v>109</v>
      </c>
      <c r="J112" t="s">
        <v>27</v>
      </c>
      <c r="K112" t="s">
        <v>163</v>
      </c>
      <c r="L112">
        <f t="shared" si="12"/>
        <v>48.277171717171719</v>
      </c>
      <c r="M112" t="s">
        <v>25</v>
      </c>
      <c r="N112">
        <f>G112-(((G$120/C$120*C112)+(G$121/C$121*C112)+(G$122/C$122*C112))/3)</f>
        <v>77663.822939474951</v>
      </c>
      <c r="O112">
        <f t="shared" si="14"/>
        <v>1608.7069763420025</v>
      </c>
    </row>
    <row r="113" spans="1:15" x14ac:dyDescent="0.25">
      <c r="A113">
        <v>2</v>
      </c>
      <c r="B113" t="s">
        <v>276</v>
      </c>
      <c r="C113">
        <v>2290</v>
      </c>
      <c r="D113">
        <v>359.40300000000002</v>
      </c>
      <c r="E113">
        <v>823033</v>
      </c>
      <c r="F113">
        <v>328</v>
      </c>
      <c r="G113">
        <v>823033</v>
      </c>
      <c r="H113">
        <v>285.13400000000001</v>
      </c>
      <c r="I113" t="s">
        <v>110</v>
      </c>
      <c r="J113" t="s">
        <v>27</v>
      </c>
      <c r="K113" t="s">
        <v>163</v>
      </c>
      <c r="L113">
        <f t="shared" si="12"/>
        <v>57.602828282828284</v>
      </c>
      <c r="M113" t="s">
        <v>25</v>
      </c>
      <c r="N113">
        <f t="shared" ref="N113:N119" si="18">G113-(((G$120/C$120*C113)+(G$121/C$121*C113)+(G$122/C$122*C113))/3)</f>
        <v>169014.50521653553</v>
      </c>
      <c r="O113">
        <f t="shared" si="14"/>
        <v>2934.1355321422589</v>
      </c>
    </row>
    <row r="114" spans="1:15" x14ac:dyDescent="0.25">
      <c r="A114">
        <v>3</v>
      </c>
      <c r="B114" t="s">
        <v>277</v>
      </c>
      <c r="C114">
        <v>1981</v>
      </c>
      <c r="D114">
        <v>333.85899999999998</v>
      </c>
      <c r="E114">
        <v>661374</v>
      </c>
      <c r="F114">
        <v>317</v>
      </c>
      <c r="G114">
        <v>661374</v>
      </c>
      <c r="H114">
        <v>247.03899999999999</v>
      </c>
      <c r="I114" t="s">
        <v>111</v>
      </c>
      <c r="J114" t="s">
        <v>27</v>
      </c>
      <c r="K114" t="s">
        <v>163</v>
      </c>
      <c r="L114">
        <f t="shared" si="12"/>
        <v>49.906868686868684</v>
      </c>
      <c r="M114" t="s">
        <v>25</v>
      </c>
      <c r="N114">
        <f t="shared" si="18"/>
        <v>95605.162372906809</v>
      </c>
      <c r="O114">
        <f t="shared" si="14"/>
        <v>1915.6714273693171</v>
      </c>
    </row>
    <row r="115" spans="1:15" x14ac:dyDescent="0.25">
      <c r="A115">
        <v>4</v>
      </c>
      <c r="B115" t="s">
        <v>278</v>
      </c>
      <c r="C115">
        <v>2065</v>
      </c>
      <c r="D115">
        <v>340.28</v>
      </c>
      <c r="E115">
        <v>702679</v>
      </c>
      <c r="F115">
        <v>324</v>
      </c>
      <c r="G115">
        <v>702679</v>
      </c>
      <c r="H115">
        <v>258.46699999999998</v>
      </c>
      <c r="I115" t="s">
        <v>112</v>
      </c>
      <c r="J115" t="s">
        <v>27</v>
      </c>
      <c r="K115" t="s">
        <v>163</v>
      </c>
      <c r="L115">
        <f t="shared" si="12"/>
        <v>52.215555555555554</v>
      </c>
      <c r="M115" t="s">
        <v>25</v>
      </c>
      <c r="N115">
        <f t="shared" si="18"/>
        <v>112919.96431098075</v>
      </c>
      <c r="O115">
        <f t="shared" si="14"/>
        <v>2162.5732621160719</v>
      </c>
    </row>
    <row r="116" spans="1:15" x14ac:dyDescent="0.25">
      <c r="A116">
        <v>5</v>
      </c>
      <c r="B116" t="s">
        <v>279</v>
      </c>
      <c r="C116">
        <v>2018</v>
      </c>
      <c r="D116">
        <v>378.49200000000002</v>
      </c>
      <c r="E116">
        <v>763797</v>
      </c>
      <c r="F116">
        <v>348</v>
      </c>
      <c r="G116">
        <v>763797</v>
      </c>
      <c r="H116">
        <v>252.18299999999999</v>
      </c>
      <c r="I116" t="s">
        <v>113</v>
      </c>
      <c r="J116" t="s">
        <v>27</v>
      </c>
      <c r="K116" t="s">
        <v>163</v>
      </c>
      <c r="L116">
        <f t="shared" si="12"/>
        <v>50.946060606060605</v>
      </c>
      <c r="M116" t="s">
        <v>25</v>
      </c>
      <c r="N116">
        <f t="shared" si="18"/>
        <v>187461.05132182047</v>
      </c>
      <c r="O116">
        <f t="shared" si="14"/>
        <v>3679.5985615327413</v>
      </c>
    </row>
    <row r="117" spans="1:15" x14ac:dyDescent="0.25">
      <c r="A117">
        <v>6</v>
      </c>
      <c r="B117" t="s">
        <v>280</v>
      </c>
      <c r="C117">
        <v>1945</v>
      </c>
      <c r="D117">
        <v>339.18599999999998</v>
      </c>
      <c r="E117">
        <v>659717</v>
      </c>
      <c r="F117">
        <v>317</v>
      </c>
      <c r="G117">
        <v>659717</v>
      </c>
      <c r="H117">
        <v>242.03899999999999</v>
      </c>
      <c r="I117" t="s">
        <v>114</v>
      </c>
      <c r="J117" t="s">
        <v>27</v>
      </c>
      <c r="K117" t="s">
        <v>163</v>
      </c>
      <c r="L117">
        <f t="shared" si="12"/>
        <v>48.896767676767674</v>
      </c>
      <c r="M117" t="s">
        <v>25</v>
      </c>
      <c r="N117">
        <f t="shared" si="18"/>
        <v>104229.67582801811</v>
      </c>
      <c r="O117">
        <f t="shared" si="14"/>
        <v>2131.6271152528711</v>
      </c>
    </row>
    <row r="118" spans="1:15" x14ac:dyDescent="0.25">
      <c r="A118">
        <v>7</v>
      </c>
      <c r="B118" t="s">
        <v>281</v>
      </c>
      <c r="C118">
        <v>1920</v>
      </c>
      <c r="D118">
        <v>361.916</v>
      </c>
      <c r="E118">
        <v>694879</v>
      </c>
      <c r="F118">
        <v>338</v>
      </c>
      <c r="G118">
        <v>694879</v>
      </c>
      <c r="H118">
        <v>239.35</v>
      </c>
      <c r="I118" t="s">
        <v>51</v>
      </c>
      <c r="J118" t="s">
        <v>27</v>
      </c>
      <c r="K118" t="s">
        <v>163</v>
      </c>
      <c r="L118">
        <f t="shared" si="12"/>
        <v>48.353535353535349</v>
      </c>
      <c r="M118" t="s">
        <v>25</v>
      </c>
      <c r="N118">
        <f t="shared" si="18"/>
        <v>146531.61572740099</v>
      </c>
      <c r="O118">
        <f t="shared" si="14"/>
        <v>3030.4219672054937</v>
      </c>
    </row>
    <row r="119" spans="1:15" x14ac:dyDescent="0.25">
      <c r="A119">
        <v>8</v>
      </c>
      <c r="B119" t="s">
        <v>282</v>
      </c>
      <c r="C119">
        <v>2426</v>
      </c>
      <c r="D119">
        <v>339.60300000000001</v>
      </c>
      <c r="E119">
        <v>823877</v>
      </c>
      <c r="F119">
        <v>315</v>
      </c>
      <c r="G119">
        <v>823877</v>
      </c>
      <c r="H119">
        <v>301.99700000000001</v>
      </c>
      <c r="I119" t="s">
        <v>115</v>
      </c>
      <c r="J119" t="s">
        <v>27</v>
      </c>
      <c r="K119" t="s">
        <v>163</v>
      </c>
      <c r="L119">
        <f t="shared" si="12"/>
        <v>61.00949494949495</v>
      </c>
      <c r="M119" t="s">
        <v>25</v>
      </c>
      <c r="N119">
        <f t="shared" si="18"/>
        <v>131017.23216389306</v>
      </c>
      <c r="O119">
        <f t="shared" si="14"/>
        <v>2147.4892108572953</v>
      </c>
    </row>
    <row r="120" spans="1:15" x14ac:dyDescent="0.25">
      <c r="A120">
        <v>9</v>
      </c>
      <c r="B120" t="s">
        <v>283</v>
      </c>
      <c r="C120">
        <v>1783</v>
      </c>
      <c r="D120">
        <v>285.28399999999999</v>
      </c>
      <c r="E120">
        <v>508661</v>
      </c>
      <c r="F120">
        <v>285</v>
      </c>
      <c r="G120">
        <v>508661</v>
      </c>
      <c r="H120">
        <v>222.23400000000001</v>
      </c>
      <c r="I120" t="s">
        <v>124</v>
      </c>
      <c r="K120" t="s">
        <v>163</v>
      </c>
      <c r="L120">
        <f t="shared" si="12"/>
        <v>44.895757575757578</v>
      </c>
      <c r="M120" t="s">
        <v>25</v>
      </c>
      <c r="O120">
        <f t="shared" si="14"/>
        <v>0</v>
      </c>
    </row>
    <row r="121" spans="1:15" x14ac:dyDescent="0.25">
      <c r="A121">
        <v>10</v>
      </c>
      <c r="B121" t="s">
        <v>284</v>
      </c>
      <c r="C121">
        <v>1744</v>
      </c>
      <c r="D121">
        <v>285.64999999999998</v>
      </c>
      <c r="E121">
        <v>498174</v>
      </c>
      <c r="F121">
        <v>286</v>
      </c>
      <c r="G121">
        <v>498174</v>
      </c>
      <c r="H121">
        <v>216.80799999999999</v>
      </c>
      <c r="I121" t="s">
        <v>124</v>
      </c>
      <c r="K121" t="s">
        <v>163</v>
      </c>
      <c r="L121">
        <f t="shared" si="12"/>
        <v>43.799595959595955</v>
      </c>
      <c r="M121" t="s">
        <v>25</v>
      </c>
      <c r="O121">
        <f t="shared" si="14"/>
        <v>0</v>
      </c>
    </row>
    <row r="122" spans="1:15" x14ac:dyDescent="0.25">
      <c r="A122">
        <v>11</v>
      </c>
      <c r="B122" t="s">
        <v>285</v>
      </c>
      <c r="C122">
        <v>1671</v>
      </c>
      <c r="D122">
        <v>285.85899999999998</v>
      </c>
      <c r="E122">
        <v>477670</v>
      </c>
      <c r="F122">
        <v>286</v>
      </c>
      <c r="G122">
        <v>477670</v>
      </c>
      <c r="H122">
        <v>208.19900000000001</v>
      </c>
      <c r="I122" t="s">
        <v>124</v>
      </c>
      <c r="K122" t="s">
        <v>163</v>
      </c>
      <c r="L122">
        <f t="shared" si="12"/>
        <v>42.060404040404045</v>
      </c>
      <c r="M122" t="s">
        <v>25</v>
      </c>
      <c r="O122">
        <f t="shared" si="14"/>
        <v>0</v>
      </c>
    </row>
    <row r="123" spans="1:15" x14ac:dyDescent="0.25">
      <c r="A123">
        <v>1</v>
      </c>
      <c r="B123" t="s">
        <v>286</v>
      </c>
      <c r="C123">
        <v>1908</v>
      </c>
      <c r="D123">
        <v>322.27499999999998</v>
      </c>
      <c r="E123">
        <v>614900</v>
      </c>
      <c r="F123">
        <v>304</v>
      </c>
      <c r="G123">
        <v>614900</v>
      </c>
      <c r="H123">
        <v>237.24</v>
      </c>
      <c r="I123" t="s">
        <v>116</v>
      </c>
      <c r="J123" t="s">
        <v>27</v>
      </c>
      <c r="K123" t="s">
        <v>163</v>
      </c>
      <c r="L123">
        <f t="shared" si="12"/>
        <v>47.927272727272729</v>
      </c>
      <c r="M123" t="s">
        <v>26</v>
      </c>
      <c r="N123">
        <f t="shared" ref="N123:N130" si="19">G123-(((G$131/C$131*C123)+(G$132/C$132*C123)+(G$133/C$133*C123))/3)</f>
        <v>70304.398218545015</v>
      </c>
      <c r="O123">
        <f t="shared" si="14"/>
        <v>1466.8975349089437</v>
      </c>
    </row>
    <row r="124" spans="1:15" x14ac:dyDescent="0.25">
      <c r="A124">
        <v>2</v>
      </c>
      <c r="B124" t="s">
        <v>287</v>
      </c>
      <c r="C124">
        <v>2244</v>
      </c>
      <c r="D124">
        <v>331.65199999999999</v>
      </c>
      <c r="E124">
        <v>744228</v>
      </c>
      <c r="F124">
        <v>310</v>
      </c>
      <c r="G124">
        <v>744228</v>
      </c>
      <c r="H124">
        <v>279.68599999999998</v>
      </c>
      <c r="I124" t="s">
        <v>117</v>
      </c>
      <c r="J124" t="s">
        <v>27</v>
      </c>
      <c r="K124" t="s">
        <v>163</v>
      </c>
      <c r="L124">
        <f t="shared" si="12"/>
        <v>56.502222222222215</v>
      </c>
      <c r="M124" t="s">
        <v>26</v>
      </c>
      <c r="N124">
        <f t="shared" si="19"/>
        <v>103728.77023187373</v>
      </c>
      <c r="O124">
        <f t="shared" si="14"/>
        <v>1835.8352318234556</v>
      </c>
    </row>
    <row r="125" spans="1:15" x14ac:dyDescent="0.25">
      <c r="A125">
        <v>3</v>
      </c>
      <c r="B125" t="s">
        <v>288</v>
      </c>
      <c r="C125">
        <v>2379</v>
      </c>
      <c r="D125">
        <v>380.48700000000002</v>
      </c>
      <c r="E125">
        <v>905178</v>
      </c>
      <c r="F125">
        <v>349</v>
      </c>
      <c r="G125">
        <v>905178</v>
      </c>
      <c r="H125">
        <v>297.226</v>
      </c>
      <c r="I125" t="s">
        <v>118</v>
      </c>
      <c r="J125" t="s">
        <v>27</v>
      </c>
      <c r="K125" t="s">
        <v>163</v>
      </c>
      <c r="L125">
        <f t="shared" si="12"/>
        <v>60.045656565656564</v>
      </c>
      <c r="M125" t="s">
        <v>26</v>
      </c>
      <c r="N125">
        <f t="shared" si="19"/>
        <v>226146.06255865749</v>
      </c>
      <c r="O125">
        <f t="shared" si="14"/>
        <v>3766.2351532684038</v>
      </c>
    </row>
    <row r="126" spans="1:15" x14ac:dyDescent="0.25">
      <c r="A126">
        <v>4</v>
      </c>
      <c r="B126" t="s">
        <v>289</v>
      </c>
      <c r="C126">
        <v>2117</v>
      </c>
      <c r="D126">
        <v>359.82900000000001</v>
      </c>
      <c r="E126">
        <v>761757</v>
      </c>
      <c r="F126">
        <v>334</v>
      </c>
      <c r="G126">
        <v>761757</v>
      </c>
      <c r="H126">
        <v>263.822</v>
      </c>
      <c r="I126" t="s">
        <v>119</v>
      </c>
      <c r="J126" t="s">
        <v>27</v>
      </c>
      <c r="K126" t="s">
        <v>163</v>
      </c>
      <c r="L126">
        <f t="shared" si="12"/>
        <v>53.297373737373739</v>
      </c>
      <c r="M126" t="s">
        <v>26</v>
      </c>
      <c r="N126">
        <f t="shared" si="19"/>
        <v>157507.05819112156</v>
      </c>
      <c r="O126">
        <f t="shared" si="14"/>
        <v>2955.249895937608</v>
      </c>
    </row>
    <row r="127" spans="1:15" x14ac:dyDescent="0.25">
      <c r="A127">
        <v>5</v>
      </c>
      <c r="B127" t="s">
        <v>290</v>
      </c>
      <c r="C127">
        <v>1745</v>
      </c>
      <c r="D127">
        <v>346.41699999999997</v>
      </c>
      <c r="E127">
        <v>604498</v>
      </c>
      <c r="F127">
        <v>321</v>
      </c>
      <c r="G127">
        <v>604498</v>
      </c>
      <c r="H127">
        <v>217.76</v>
      </c>
      <c r="I127" t="s">
        <v>120</v>
      </c>
      <c r="J127" t="s">
        <v>27</v>
      </c>
      <c r="K127" t="s">
        <v>163</v>
      </c>
      <c r="L127">
        <f t="shared" si="12"/>
        <v>43.991919191919187</v>
      </c>
      <c r="M127" t="s">
        <v>26</v>
      </c>
      <c r="N127">
        <f t="shared" si="19"/>
        <v>106427.0748906504</v>
      </c>
      <c r="O127">
        <f t="shared" si="14"/>
        <v>2419.2414617409972</v>
      </c>
    </row>
    <row r="128" spans="1:15" x14ac:dyDescent="0.25">
      <c r="A128">
        <v>6</v>
      </c>
      <c r="B128" t="s">
        <v>291</v>
      </c>
      <c r="C128">
        <v>2350</v>
      </c>
      <c r="D128">
        <v>366.346</v>
      </c>
      <c r="E128">
        <v>860914</v>
      </c>
      <c r="F128">
        <v>336</v>
      </c>
      <c r="G128">
        <v>860914</v>
      </c>
      <c r="H128">
        <v>293.43</v>
      </c>
      <c r="I128" t="s">
        <v>121</v>
      </c>
      <c r="J128" t="s">
        <v>27</v>
      </c>
      <c r="K128" t="s">
        <v>163</v>
      </c>
      <c r="L128">
        <f t="shared" si="12"/>
        <v>59.278787878787881</v>
      </c>
      <c r="M128" t="s">
        <v>26</v>
      </c>
      <c r="N128">
        <f t="shared" si="19"/>
        <v>190159.45902179275</v>
      </c>
      <c r="O128">
        <f t="shared" si="14"/>
        <v>3207.8837274916473</v>
      </c>
    </row>
    <row r="129" spans="1:15" x14ac:dyDescent="0.25">
      <c r="A129">
        <v>7</v>
      </c>
      <c r="B129" t="s">
        <v>292</v>
      </c>
      <c r="C129">
        <v>1993</v>
      </c>
      <c r="D129">
        <v>337.613</v>
      </c>
      <c r="E129">
        <v>672862</v>
      </c>
      <c r="F129">
        <v>316</v>
      </c>
      <c r="G129">
        <v>672862</v>
      </c>
      <c r="H129">
        <v>248.124</v>
      </c>
      <c r="I129" t="s">
        <v>122</v>
      </c>
      <c r="J129" t="s">
        <v>27</v>
      </c>
      <c r="K129" t="s">
        <v>163</v>
      </c>
      <c r="L129">
        <f t="shared" si="12"/>
        <v>50.126060606060605</v>
      </c>
      <c r="M129" t="s">
        <v>26</v>
      </c>
      <c r="N129">
        <f t="shared" si="19"/>
        <v>104005.06375763111</v>
      </c>
      <c r="O129">
        <f t="shared" si="14"/>
        <v>2074.8700875379809</v>
      </c>
    </row>
    <row r="130" spans="1:15" x14ac:dyDescent="0.25">
      <c r="A130">
        <v>8</v>
      </c>
      <c r="B130" t="s">
        <v>293</v>
      </c>
      <c r="C130">
        <v>2240</v>
      </c>
      <c r="D130">
        <v>342.16199999999998</v>
      </c>
      <c r="E130">
        <v>766442</v>
      </c>
      <c r="F130">
        <v>321</v>
      </c>
      <c r="G130">
        <v>766442</v>
      </c>
      <c r="H130">
        <v>279.96600000000001</v>
      </c>
      <c r="I130" t="s">
        <v>123</v>
      </c>
      <c r="J130" t="s">
        <v>27</v>
      </c>
      <c r="K130" t="s">
        <v>163</v>
      </c>
      <c r="L130">
        <f t="shared" ref="L130:L177" si="20">H130/4.95</f>
        <v>56.558787878787875</v>
      </c>
      <c r="M130" t="s">
        <v>26</v>
      </c>
      <c r="N130">
        <f t="shared" si="19"/>
        <v>127084.48008885793</v>
      </c>
      <c r="O130">
        <f t="shared" si="14"/>
        <v>2246.9449020232701</v>
      </c>
    </row>
    <row r="131" spans="1:15" x14ac:dyDescent="0.25">
      <c r="A131">
        <v>9</v>
      </c>
      <c r="B131" t="s">
        <v>294</v>
      </c>
      <c r="C131">
        <v>1611</v>
      </c>
      <c r="D131">
        <v>285.26400000000001</v>
      </c>
      <c r="E131">
        <v>459560</v>
      </c>
      <c r="F131">
        <v>285</v>
      </c>
      <c r="G131">
        <v>459560</v>
      </c>
      <c r="H131">
        <v>199.04599999999999</v>
      </c>
      <c r="I131" t="s">
        <v>124</v>
      </c>
      <c r="K131" t="s">
        <v>163</v>
      </c>
      <c r="L131">
        <f t="shared" si="20"/>
        <v>40.211313131313126</v>
      </c>
      <c r="M131" t="s">
        <v>26</v>
      </c>
      <c r="O131">
        <f t="shared" si="14"/>
        <v>0</v>
      </c>
    </row>
    <row r="132" spans="1:15" x14ac:dyDescent="0.25">
      <c r="A132">
        <v>10</v>
      </c>
      <c r="B132" t="s">
        <v>295</v>
      </c>
      <c r="C132">
        <v>1503</v>
      </c>
      <c r="D132">
        <v>285.339</v>
      </c>
      <c r="E132">
        <v>428864</v>
      </c>
      <c r="F132">
        <v>285</v>
      </c>
      <c r="G132">
        <v>428864</v>
      </c>
      <c r="H132">
        <v>186.28299999999999</v>
      </c>
      <c r="I132" t="s">
        <v>124</v>
      </c>
      <c r="K132" t="s">
        <v>163</v>
      </c>
      <c r="L132">
        <f t="shared" si="20"/>
        <v>37.63292929292929</v>
      </c>
      <c r="M132" t="s">
        <v>26</v>
      </c>
      <c r="O132">
        <f t="shared" si="14"/>
        <v>0</v>
      </c>
    </row>
    <row r="133" spans="1:15" x14ac:dyDescent="0.25">
      <c r="A133">
        <v>11</v>
      </c>
      <c r="B133" t="s">
        <v>296</v>
      </c>
      <c r="C133">
        <v>1609</v>
      </c>
      <c r="D133">
        <v>285.68</v>
      </c>
      <c r="E133">
        <v>459659</v>
      </c>
      <c r="F133">
        <v>286</v>
      </c>
      <c r="G133">
        <v>459659</v>
      </c>
      <c r="H133">
        <v>200.04900000000001</v>
      </c>
      <c r="I133" t="s">
        <v>124</v>
      </c>
      <c r="K133" t="s">
        <v>163</v>
      </c>
      <c r="L133">
        <f t="shared" si="20"/>
        <v>40.413939393939394</v>
      </c>
      <c r="M133" t="s">
        <v>26</v>
      </c>
      <c r="O133">
        <f t="shared" si="14"/>
        <v>0</v>
      </c>
    </row>
    <row r="134" spans="1:15" x14ac:dyDescent="0.25">
      <c r="A134">
        <v>1</v>
      </c>
      <c r="B134" t="s">
        <v>297</v>
      </c>
      <c r="C134">
        <v>2173</v>
      </c>
      <c r="D134">
        <v>302.28199999999998</v>
      </c>
      <c r="E134">
        <v>656858</v>
      </c>
      <c r="F134">
        <v>289</v>
      </c>
      <c r="G134">
        <v>656858</v>
      </c>
      <c r="H134">
        <v>270.76799999999997</v>
      </c>
      <c r="I134" t="s">
        <v>125</v>
      </c>
      <c r="J134" t="s">
        <v>27</v>
      </c>
      <c r="K134" t="s">
        <v>164</v>
      </c>
      <c r="L134">
        <f t="shared" si="20"/>
        <v>54.700606060606056</v>
      </c>
      <c r="M134" t="s">
        <v>126</v>
      </c>
      <c r="N134">
        <f>G134-(((G$142/C$142*C134)+(G$143/C$143*C134)+(G$144/C$144*C134))/3)</f>
        <v>38085.458845268004</v>
      </c>
      <c r="O134">
        <f>N134/L134</f>
        <v>696.25295930123434</v>
      </c>
    </row>
    <row r="135" spans="1:15" x14ac:dyDescent="0.25">
      <c r="A135">
        <v>2</v>
      </c>
      <c r="B135" t="s">
        <v>298</v>
      </c>
      <c r="C135">
        <v>1995</v>
      </c>
      <c r="D135">
        <v>313.649</v>
      </c>
      <c r="E135">
        <v>625730</v>
      </c>
      <c r="F135">
        <v>294</v>
      </c>
      <c r="G135">
        <v>625730</v>
      </c>
      <c r="H135">
        <v>248.18600000000001</v>
      </c>
      <c r="I135" t="s">
        <v>127</v>
      </c>
      <c r="J135" t="s">
        <v>27</v>
      </c>
      <c r="K135" t="s">
        <v>164</v>
      </c>
      <c r="L135">
        <f t="shared" si="20"/>
        <v>50.138585858585856</v>
      </c>
      <c r="M135" t="s">
        <v>126</v>
      </c>
      <c r="N135">
        <f>G135-(((G$142/C$142*C135)+(G$143/C$143*C135)+(G$144/C$144*C135))/3)</f>
        <v>57643.842796276906</v>
      </c>
      <c r="O135">
        <f>N135/L135</f>
        <v>1149.6902397458789</v>
      </c>
    </row>
    <row r="136" spans="1:15" x14ac:dyDescent="0.25">
      <c r="A136">
        <v>3</v>
      </c>
      <c r="B136" t="s">
        <v>299</v>
      </c>
      <c r="C136">
        <v>2114</v>
      </c>
      <c r="D136">
        <v>319.68799999999999</v>
      </c>
      <c r="E136">
        <v>675821</v>
      </c>
      <c r="F136">
        <v>299</v>
      </c>
      <c r="G136">
        <v>675821</v>
      </c>
      <c r="H136">
        <v>263.142</v>
      </c>
      <c r="I136" t="s">
        <v>128</v>
      </c>
      <c r="J136" t="s">
        <v>27</v>
      </c>
      <c r="K136" t="s">
        <v>164</v>
      </c>
      <c r="L136">
        <f t="shared" si="20"/>
        <v>53.16</v>
      </c>
      <c r="M136" t="s">
        <v>126</v>
      </c>
      <c r="N136">
        <f t="shared" ref="N136:N141" si="21">G136-(((G$142/C$142*C136)+(G$143/C$143*C136)+(G$144/C$144*C136))/3)</f>
        <v>73849.001840265351</v>
      </c>
      <c r="O136">
        <f t="shared" si="14"/>
        <v>1389.1836313067222</v>
      </c>
    </row>
    <row r="137" spans="1:15" x14ac:dyDescent="0.25">
      <c r="A137">
        <v>4</v>
      </c>
      <c r="B137" t="s">
        <v>300</v>
      </c>
      <c r="C137">
        <v>2096</v>
      </c>
      <c r="D137">
        <v>336.02499999999998</v>
      </c>
      <c r="E137">
        <v>704308</v>
      </c>
      <c r="F137">
        <v>304</v>
      </c>
      <c r="G137">
        <v>704308</v>
      </c>
      <c r="H137">
        <v>260.19400000000002</v>
      </c>
      <c r="I137" t="s">
        <v>129</v>
      </c>
      <c r="J137" t="s">
        <v>27</v>
      </c>
      <c r="K137" t="s">
        <v>164</v>
      </c>
      <c r="L137">
        <f t="shared" si="20"/>
        <v>52.564444444444447</v>
      </c>
      <c r="M137" t="s">
        <v>126</v>
      </c>
      <c r="N137">
        <f t="shared" si="21"/>
        <v>107461.59122856951</v>
      </c>
      <c r="O137">
        <f t="shared" si="14"/>
        <v>2044.3779509958686</v>
      </c>
    </row>
    <row r="138" spans="1:15" x14ac:dyDescent="0.25">
      <c r="A138">
        <v>5</v>
      </c>
      <c r="B138" t="s">
        <v>301</v>
      </c>
      <c r="C138">
        <v>2556</v>
      </c>
      <c r="D138">
        <v>330.459</v>
      </c>
      <c r="E138">
        <v>844652</v>
      </c>
      <c r="F138">
        <v>303</v>
      </c>
      <c r="G138">
        <v>844652</v>
      </c>
      <c r="H138">
        <v>318.55599999999998</v>
      </c>
      <c r="I138" t="s">
        <v>159</v>
      </c>
      <c r="J138" t="s">
        <v>27</v>
      </c>
      <c r="K138" t="s">
        <v>164</v>
      </c>
      <c r="L138">
        <f t="shared" si="20"/>
        <v>64.354747474747469</v>
      </c>
      <c r="M138" t="s">
        <v>126</v>
      </c>
      <c r="N138">
        <f t="shared" si="21"/>
        <v>116818.30686079385</v>
      </c>
      <c r="O138">
        <f t="shared" si="14"/>
        <v>1815.224384287</v>
      </c>
    </row>
    <row r="139" spans="1:15" x14ac:dyDescent="0.25">
      <c r="A139">
        <v>6</v>
      </c>
      <c r="B139" t="s">
        <v>302</v>
      </c>
      <c r="C139">
        <v>2273</v>
      </c>
      <c r="D139">
        <v>329.12799999999999</v>
      </c>
      <c r="E139">
        <v>748109</v>
      </c>
      <c r="F139">
        <v>304</v>
      </c>
      <c r="G139">
        <v>748109</v>
      </c>
      <c r="H139">
        <v>283.036</v>
      </c>
      <c r="I139" t="s">
        <v>130</v>
      </c>
      <c r="J139" t="s">
        <v>27</v>
      </c>
      <c r="K139" t="s">
        <v>164</v>
      </c>
      <c r="L139">
        <f t="shared" si="20"/>
        <v>57.178989898989897</v>
      </c>
      <c r="M139" t="s">
        <v>126</v>
      </c>
      <c r="N139">
        <f t="shared" si="21"/>
        <v>100860.9622435777</v>
      </c>
      <c r="O139">
        <f t="shared" si="14"/>
        <v>1763.9514517789596</v>
      </c>
    </row>
    <row r="140" spans="1:15" x14ac:dyDescent="0.25">
      <c r="A140">
        <v>7</v>
      </c>
      <c r="B140" t="s">
        <v>303</v>
      </c>
      <c r="C140">
        <v>2182</v>
      </c>
      <c r="D140">
        <v>314.80599999999998</v>
      </c>
      <c r="E140">
        <v>686906</v>
      </c>
      <c r="F140">
        <v>298</v>
      </c>
      <c r="G140">
        <v>686906</v>
      </c>
      <c r="H140">
        <v>271.5</v>
      </c>
      <c r="I140" t="s">
        <v>131</v>
      </c>
      <c r="J140" t="s">
        <v>27</v>
      </c>
      <c r="K140" t="s">
        <v>164</v>
      </c>
      <c r="L140">
        <f t="shared" si="20"/>
        <v>54.848484848484844</v>
      </c>
      <c r="M140" t="s">
        <v>126</v>
      </c>
      <c r="N140">
        <f t="shared" si="21"/>
        <v>65570.664151115925</v>
      </c>
      <c r="O140">
        <f t="shared" si="14"/>
        <v>1195.4872469540474</v>
      </c>
    </row>
    <row r="141" spans="1:15" x14ac:dyDescent="0.25">
      <c r="A141">
        <v>8</v>
      </c>
      <c r="B141" t="s">
        <v>304</v>
      </c>
      <c r="C141">
        <v>2304</v>
      </c>
      <c r="D141">
        <v>322.93400000000003</v>
      </c>
      <c r="E141">
        <v>744041</v>
      </c>
      <c r="F141">
        <v>301</v>
      </c>
      <c r="G141">
        <v>744041</v>
      </c>
      <c r="H141">
        <v>287.08100000000002</v>
      </c>
      <c r="I141" t="s">
        <v>132</v>
      </c>
      <c r="J141" t="s">
        <v>27</v>
      </c>
      <c r="K141" t="s">
        <v>164</v>
      </c>
      <c r="L141">
        <f t="shared" si="20"/>
        <v>57.996161616161615</v>
      </c>
      <c r="M141" t="s">
        <v>126</v>
      </c>
      <c r="N141">
        <f t="shared" si="21"/>
        <v>87965.558297053562</v>
      </c>
      <c r="O141">
        <f t="shared" ref="O141:O177" si="22">N141/L141</f>
        <v>1516.7479337553343</v>
      </c>
    </row>
    <row r="142" spans="1:15" x14ac:dyDescent="0.25">
      <c r="A142">
        <v>9</v>
      </c>
      <c r="B142" t="s">
        <v>305</v>
      </c>
      <c r="C142">
        <v>1658</v>
      </c>
      <c r="D142">
        <v>284.74299999999999</v>
      </c>
      <c r="E142">
        <v>472104</v>
      </c>
      <c r="F142">
        <v>285</v>
      </c>
      <c r="G142">
        <v>472104</v>
      </c>
      <c r="H142">
        <v>206.24700000000001</v>
      </c>
      <c r="I142" t="s">
        <v>124</v>
      </c>
      <c r="K142" t="s">
        <v>164</v>
      </c>
      <c r="L142">
        <f t="shared" si="20"/>
        <v>41.666060606060604</v>
      </c>
      <c r="M142" t="s">
        <v>126</v>
      </c>
      <c r="O142">
        <f t="shared" si="22"/>
        <v>0</v>
      </c>
    </row>
    <row r="143" spans="1:15" x14ac:dyDescent="0.25">
      <c r="A143">
        <v>10</v>
      </c>
      <c r="B143" t="s">
        <v>306</v>
      </c>
      <c r="C143">
        <v>1715</v>
      </c>
      <c r="D143">
        <v>284.767</v>
      </c>
      <c r="E143">
        <v>488376</v>
      </c>
      <c r="F143">
        <v>285</v>
      </c>
      <c r="G143">
        <v>488376</v>
      </c>
      <c r="H143">
        <v>213.27</v>
      </c>
      <c r="I143" t="s">
        <v>124</v>
      </c>
      <c r="K143" t="s">
        <v>164</v>
      </c>
      <c r="L143">
        <f t="shared" si="20"/>
        <v>43.084848484848486</v>
      </c>
      <c r="M143" t="s">
        <v>126</v>
      </c>
      <c r="O143">
        <f t="shared" si="22"/>
        <v>0</v>
      </c>
    </row>
    <row r="144" spans="1:15" x14ac:dyDescent="0.25">
      <c r="A144">
        <v>11</v>
      </c>
      <c r="B144" t="s">
        <v>307</v>
      </c>
      <c r="C144">
        <v>1560</v>
      </c>
      <c r="D144">
        <v>284.75400000000002</v>
      </c>
      <c r="E144">
        <v>444217</v>
      </c>
      <c r="F144">
        <v>285</v>
      </c>
      <c r="G144">
        <v>444217</v>
      </c>
      <c r="H144">
        <v>194.04499999999999</v>
      </c>
      <c r="I144" t="s">
        <v>124</v>
      </c>
      <c r="K144" t="s">
        <v>164</v>
      </c>
      <c r="L144">
        <f t="shared" si="20"/>
        <v>39.201010101010098</v>
      </c>
      <c r="M144" t="s">
        <v>126</v>
      </c>
      <c r="O144">
        <f t="shared" si="22"/>
        <v>0</v>
      </c>
    </row>
    <row r="145" spans="1:15" x14ac:dyDescent="0.25">
      <c r="A145">
        <v>1</v>
      </c>
      <c r="B145" t="s">
        <v>308</v>
      </c>
      <c r="C145">
        <v>2259</v>
      </c>
      <c r="D145">
        <v>311.65100000000001</v>
      </c>
      <c r="E145">
        <v>704020</v>
      </c>
      <c r="F145">
        <v>293</v>
      </c>
      <c r="G145">
        <v>704020</v>
      </c>
      <c r="H145">
        <v>281.57499999999999</v>
      </c>
      <c r="I145" t="s">
        <v>133</v>
      </c>
      <c r="J145" t="s">
        <v>27</v>
      </c>
      <c r="K145" t="s">
        <v>164</v>
      </c>
      <c r="L145">
        <f t="shared" si="20"/>
        <v>56.883838383838381</v>
      </c>
      <c r="M145" t="s">
        <v>134</v>
      </c>
      <c r="N145">
        <f>G145-(((G$153/C$153*C145)+(G$154/C$154*C145)+(G$155/C$155*C145))/3)</f>
        <v>61490.009975341382</v>
      </c>
      <c r="O145">
        <f t="shared" si="22"/>
        <v>1080.9750488429011</v>
      </c>
    </row>
    <row r="146" spans="1:15" x14ac:dyDescent="0.25">
      <c r="A146">
        <v>2</v>
      </c>
      <c r="B146" t="s">
        <v>309</v>
      </c>
      <c r="C146">
        <v>2076</v>
      </c>
      <c r="D146">
        <v>327.57900000000001</v>
      </c>
      <c r="E146">
        <v>680053</v>
      </c>
      <c r="F146">
        <v>300</v>
      </c>
      <c r="G146">
        <v>680053</v>
      </c>
      <c r="H146">
        <v>258.87099999999998</v>
      </c>
      <c r="I146" t="s">
        <v>160</v>
      </c>
      <c r="J146" t="s">
        <v>27</v>
      </c>
      <c r="K146" t="s">
        <v>164</v>
      </c>
      <c r="L146">
        <f t="shared" si="20"/>
        <v>52.297171717171715</v>
      </c>
      <c r="M146" t="s">
        <v>134</v>
      </c>
      <c r="N146">
        <f>G146-(((G$153/C$153*C146)+(G$154/C$154*C146)+(G$155/C$155*C146))/3)</f>
        <v>89573.912221694947</v>
      </c>
      <c r="O146">
        <f t="shared" si="22"/>
        <v>1712.7869305460636</v>
      </c>
    </row>
    <row r="147" spans="1:15" x14ac:dyDescent="0.25">
      <c r="A147">
        <v>3</v>
      </c>
      <c r="B147" t="s">
        <v>310</v>
      </c>
      <c r="C147">
        <v>2453</v>
      </c>
      <c r="D147">
        <v>335.75599999999997</v>
      </c>
      <c r="E147">
        <v>823610</v>
      </c>
      <c r="F147">
        <v>306</v>
      </c>
      <c r="G147">
        <v>823610</v>
      </c>
      <c r="H147">
        <v>309.26900000000001</v>
      </c>
      <c r="I147" t="s">
        <v>135</v>
      </c>
      <c r="J147" t="s">
        <v>27</v>
      </c>
      <c r="K147" t="s">
        <v>164</v>
      </c>
      <c r="L147">
        <f t="shared" si="20"/>
        <v>62.478585858585859</v>
      </c>
      <c r="M147" t="s">
        <v>134</v>
      </c>
      <c r="N147">
        <f>G147-(((G$153/C$153*C147)+(G$154/C$154*C147)+(G$155/C$155*C147))/3)</f>
        <v>125900.36497101036</v>
      </c>
      <c r="O147">
        <f t="shared" si="22"/>
        <v>2015.0962644380825</v>
      </c>
    </row>
    <row r="148" spans="1:15" x14ac:dyDescent="0.25">
      <c r="A148">
        <v>4</v>
      </c>
      <c r="B148" t="s">
        <v>311</v>
      </c>
      <c r="C148">
        <v>2272</v>
      </c>
      <c r="D148">
        <v>319.32499999999999</v>
      </c>
      <c r="E148">
        <v>725506</v>
      </c>
      <c r="F148">
        <v>296</v>
      </c>
      <c r="G148">
        <v>725506</v>
      </c>
      <c r="H148">
        <v>283.14</v>
      </c>
      <c r="I148" t="s">
        <v>136</v>
      </c>
      <c r="J148" t="s">
        <v>27</v>
      </c>
      <c r="K148" t="s">
        <v>164</v>
      </c>
      <c r="L148">
        <f t="shared" si="20"/>
        <v>57.199999999999996</v>
      </c>
      <c r="M148" t="s">
        <v>134</v>
      </c>
      <c r="N148">
        <f>G148-(((G$153/C$153*C148)+(G$154/C$154*C148)+(G$155/C$155*C148))/3)</f>
        <v>79278.404897731612</v>
      </c>
      <c r="O148">
        <f t="shared" si="22"/>
        <v>1385.9860996106927</v>
      </c>
    </row>
    <row r="149" spans="1:15" x14ac:dyDescent="0.25">
      <c r="A149">
        <v>5</v>
      </c>
      <c r="B149" t="s">
        <v>312</v>
      </c>
      <c r="C149">
        <v>2112</v>
      </c>
      <c r="D149">
        <v>360.93</v>
      </c>
      <c r="E149">
        <v>762284</v>
      </c>
      <c r="F149">
        <v>316</v>
      </c>
      <c r="G149">
        <v>762284</v>
      </c>
      <c r="H149">
        <v>263.52499999999998</v>
      </c>
      <c r="I149" t="s">
        <v>137</v>
      </c>
      <c r="J149" t="s">
        <v>27</v>
      </c>
      <c r="K149" t="s">
        <v>164</v>
      </c>
      <c r="L149">
        <f t="shared" si="20"/>
        <v>53.23737373737373</v>
      </c>
      <c r="M149" t="s">
        <v>134</v>
      </c>
      <c r="N149">
        <f>G149-(((G$153/C$153*C149)+(G$154/C$154*C149)+(G$155/C$155*C149))/3)</f>
        <v>161565.39046831382</v>
      </c>
      <c r="O149">
        <f t="shared" si="22"/>
        <v>3034.811432760283</v>
      </c>
    </row>
    <row r="150" spans="1:15" x14ac:dyDescent="0.25">
      <c r="A150">
        <v>6</v>
      </c>
      <c r="B150" t="s">
        <v>313</v>
      </c>
      <c r="C150">
        <v>2168</v>
      </c>
      <c r="D150">
        <v>308.12799999999999</v>
      </c>
      <c r="E150">
        <v>668021</v>
      </c>
      <c r="F150">
        <v>292</v>
      </c>
      <c r="G150">
        <v>668021</v>
      </c>
      <c r="H150">
        <v>270.59399999999999</v>
      </c>
      <c r="I150" t="s">
        <v>138</v>
      </c>
      <c r="J150" t="s">
        <v>27</v>
      </c>
      <c r="K150" t="s">
        <v>164</v>
      </c>
      <c r="L150">
        <f t="shared" si="20"/>
        <v>54.665454545454544</v>
      </c>
      <c r="M150" t="s">
        <v>134</v>
      </c>
      <c r="N150">
        <f t="shared" ref="N150:N152" si="23">G150-(((G$153/C$153*C150)+(G$154/C$154*C150)+(G$155/C$155*C150))/3)</f>
        <v>51374.245518609998</v>
      </c>
      <c r="O150">
        <f t="shared" si="22"/>
        <v>939.79362187306253</v>
      </c>
    </row>
    <row r="151" spans="1:15" x14ac:dyDescent="0.25">
      <c r="A151">
        <v>7</v>
      </c>
      <c r="B151" t="s">
        <v>314</v>
      </c>
      <c r="C151">
        <v>2417</v>
      </c>
      <c r="D151">
        <v>320.15300000000002</v>
      </c>
      <c r="E151">
        <v>773809</v>
      </c>
      <c r="F151">
        <v>295</v>
      </c>
      <c r="G151">
        <v>773809</v>
      </c>
      <c r="H151">
        <v>301.524</v>
      </c>
      <c r="I151" t="s">
        <v>139</v>
      </c>
      <c r="J151" t="s">
        <v>27</v>
      </c>
      <c r="K151" t="s">
        <v>164</v>
      </c>
      <c r="L151">
        <f t="shared" si="20"/>
        <v>60.913939393939394</v>
      </c>
      <c r="M151" t="s">
        <v>134</v>
      </c>
      <c r="N151">
        <f t="shared" si="23"/>
        <v>86338.88672439137</v>
      </c>
      <c r="O151">
        <f t="shared" si="22"/>
        <v>1417.3912832336307</v>
      </c>
    </row>
    <row r="152" spans="1:15" x14ac:dyDescent="0.25">
      <c r="A152">
        <v>8</v>
      </c>
      <c r="B152" t="s">
        <v>315</v>
      </c>
      <c r="C152">
        <v>2225</v>
      </c>
      <c r="D152">
        <v>311.32400000000001</v>
      </c>
      <c r="E152">
        <v>692697</v>
      </c>
      <c r="F152">
        <v>292</v>
      </c>
      <c r="G152">
        <v>692697</v>
      </c>
      <c r="H152">
        <v>278.22000000000003</v>
      </c>
      <c r="I152" t="s">
        <v>140</v>
      </c>
      <c r="J152" t="s">
        <v>27</v>
      </c>
      <c r="K152" t="s">
        <v>164</v>
      </c>
      <c r="L152">
        <f t="shared" si="20"/>
        <v>56.20606060606061</v>
      </c>
      <c r="M152" t="s">
        <v>134</v>
      </c>
      <c r="N152">
        <f t="shared" si="23"/>
        <v>59837.669409090071</v>
      </c>
      <c r="O152">
        <f t="shared" si="22"/>
        <v>1064.6124059197607</v>
      </c>
    </row>
    <row r="153" spans="1:15" x14ac:dyDescent="0.25">
      <c r="A153">
        <v>9</v>
      </c>
      <c r="B153" t="s">
        <v>316</v>
      </c>
      <c r="C153">
        <v>1540</v>
      </c>
      <c r="D153">
        <v>284.27499999999998</v>
      </c>
      <c r="E153">
        <v>437783</v>
      </c>
      <c r="F153">
        <v>284</v>
      </c>
      <c r="G153">
        <v>437783</v>
      </c>
      <c r="H153">
        <v>192.01</v>
      </c>
      <c r="I153" t="s">
        <v>124</v>
      </c>
      <c r="K153" t="s">
        <v>164</v>
      </c>
      <c r="L153">
        <f t="shared" si="20"/>
        <v>38.789898989898987</v>
      </c>
      <c r="M153" t="s">
        <v>134</v>
      </c>
      <c r="O153">
        <f t="shared" si="22"/>
        <v>0</v>
      </c>
    </row>
    <row r="154" spans="1:15" x14ac:dyDescent="0.25">
      <c r="A154">
        <v>10</v>
      </c>
      <c r="B154" t="s">
        <v>317</v>
      </c>
      <c r="C154">
        <v>1579</v>
      </c>
      <c r="D154">
        <v>284.495</v>
      </c>
      <c r="E154">
        <v>449218</v>
      </c>
      <c r="F154">
        <v>284</v>
      </c>
      <c r="G154">
        <v>449218</v>
      </c>
      <c r="H154">
        <v>196.65600000000001</v>
      </c>
      <c r="I154" t="s">
        <v>124</v>
      </c>
      <c r="K154" t="s">
        <v>164</v>
      </c>
      <c r="L154">
        <f t="shared" si="20"/>
        <v>39.728484848484847</v>
      </c>
      <c r="M154" t="s">
        <v>134</v>
      </c>
      <c r="O154">
        <f t="shared" si="22"/>
        <v>0</v>
      </c>
    </row>
    <row r="155" spans="1:15" x14ac:dyDescent="0.25">
      <c r="A155">
        <v>11</v>
      </c>
      <c r="B155" t="s">
        <v>318</v>
      </c>
      <c r="C155">
        <v>1677</v>
      </c>
      <c r="D155">
        <v>284.524</v>
      </c>
      <c r="E155">
        <v>477146</v>
      </c>
      <c r="F155">
        <v>284</v>
      </c>
      <c r="G155">
        <v>477146</v>
      </c>
      <c r="H155">
        <v>208.267</v>
      </c>
      <c r="I155" t="s">
        <v>124</v>
      </c>
      <c r="K155" t="s">
        <v>164</v>
      </c>
      <c r="L155">
        <f t="shared" si="20"/>
        <v>42.074141414141408</v>
      </c>
      <c r="M155" t="s">
        <v>134</v>
      </c>
      <c r="O155">
        <f t="shared" si="22"/>
        <v>0</v>
      </c>
    </row>
    <row r="156" spans="1:15" x14ac:dyDescent="0.25">
      <c r="A156">
        <v>1</v>
      </c>
      <c r="B156" t="s">
        <v>319</v>
      </c>
      <c r="C156">
        <v>1783</v>
      </c>
      <c r="D156">
        <v>301.34699999999998</v>
      </c>
      <c r="E156">
        <v>537302</v>
      </c>
      <c r="F156">
        <v>288</v>
      </c>
      <c r="G156">
        <v>537302</v>
      </c>
      <c r="H156">
        <v>221.88200000000001</v>
      </c>
      <c r="I156" t="s">
        <v>141</v>
      </c>
      <c r="J156" t="s">
        <v>27</v>
      </c>
      <c r="K156" t="s">
        <v>164</v>
      </c>
      <c r="L156">
        <f t="shared" si="20"/>
        <v>44.824646464646463</v>
      </c>
      <c r="M156" t="s">
        <v>142</v>
      </c>
      <c r="N156">
        <f>G156-(((G$164/C$164*C156)+(G$165/C$165*C156)+(G$166/C$166*C156))/3)</f>
        <v>30349.682878576859</v>
      </c>
      <c r="O156">
        <f t="shared" si="22"/>
        <v>677.07578915349359</v>
      </c>
    </row>
    <row r="157" spans="1:15" x14ac:dyDescent="0.25">
      <c r="A157">
        <v>2</v>
      </c>
      <c r="B157" t="s">
        <v>320</v>
      </c>
      <c r="C157">
        <v>2214</v>
      </c>
      <c r="D157">
        <v>307.68900000000002</v>
      </c>
      <c r="E157">
        <v>681223</v>
      </c>
      <c r="F157">
        <v>290</v>
      </c>
      <c r="G157">
        <v>681223</v>
      </c>
      <c r="H157">
        <v>276.77600000000001</v>
      </c>
      <c r="I157" t="s">
        <v>143</v>
      </c>
      <c r="J157" t="s">
        <v>27</v>
      </c>
      <c r="K157" t="s">
        <v>164</v>
      </c>
      <c r="L157">
        <f t="shared" si="20"/>
        <v>55.914343434343436</v>
      </c>
      <c r="M157" t="s">
        <v>142</v>
      </c>
      <c r="N157">
        <f>G157-(((G$164/C$164*C157)+(G$165/C$165*C157)+(G$166/C$166*C157))/3)</f>
        <v>51726.40431473311</v>
      </c>
      <c r="O157">
        <f t="shared" si="22"/>
        <v>925.10080844411686</v>
      </c>
    </row>
    <row r="158" spans="1:15" x14ac:dyDescent="0.25">
      <c r="A158">
        <v>3</v>
      </c>
      <c r="B158" t="s">
        <v>321</v>
      </c>
      <c r="C158">
        <v>1935</v>
      </c>
      <c r="D158">
        <v>343.67899999999997</v>
      </c>
      <c r="E158">
        <v>665019</v>
      </c>
      <c r="F158">
        <v>310</v>
      </c>
      <c r="G158">
        <v>665019</v>
      </c>
      <c r="H158">
        <v>241.011</v>
      </c>
      <c r="I158" t="s">
        <v>144</v>
      </c>
      <c r="J158" t="s">
        <v>27</v>
      </c>
      <c r="K158" t="s">
        <v>164</v>
      </c>
      <c r="L158">
        <f t="shared" si="20"/>
        <v>48.689090909090908</v>
      </c>
      <c r="M158" t="s">
        <v>142</v>
      </c>
      <c r="N158">
        <f t="shared" ref="N158:N163" si="24">G158-(((G$164/C$164*C158)+(G$165/C$165*C158)+(G$166/C$166*C158))/3)</f>
        <v>114849.21108807984</v>
      </c>
      <c r="O158">
        <f t="shared" si="22"/>
        <v>2358.8284139976818</v>
      </c>
    </row>
    <row r="159" spans="1:15" x14ac:dyDescent="0.25">
      <c r="A159">
        <v>4</v>
      </c>
      <c r="B159" t="s">
        <v>322</v>
      </c>
      <c r="C159">
        <v>1758</v>
      </c>
      <c r="D159">
        <v>327.04199999999997</v>
      </c>
      <c r="E159">
        <v>574940</v>
      </c>
      <c r="F159">
        <v>306</v>
      </c>
      <c r="G159">
        <v>574940</v>
      </c>
      <c r="H159">
        <v>220.578</v>
      </c>
      <c r="I159" t="s">
        <v>145</v>
      </c>
      <c r="J159" t="s">
        <v>27</v>
      </c>
      <c r="K159" t="s">
        <v>164</v>
      </c>
      <c r="L159">
        <f t="shared" si="20"/>
        <v>44.561212121212122</v>
      </c>
      <c r="M159" t="s">
        <v>142</v>
      </c>
      <c r="N159">
        <f t="shared" si="24"/>
        <v>75095.819686224393</v>
      </c>
      <c r="O159">
        <f t="shared" si="22"/>
        <v>1685.2283883560951</v>
      </c>
    </row>
    <row r="160" spans="1:15" x14ac:dyDescent="0.25">
      <c r="A160">
        <v>5</v>
      </c>
      <c r="B160" t="s">
        <v>323</v>
      </c>
      <c r="C160">
        <v>2193</v>
      </c>
      <c r="D160">
        <v>332.45400000000001</v>
      </c>
      <c r="E160">
        <v>729072</v>
      </c>
      <c r="F160">
        <v>304</v>
      </c>
      <c r="G160">
        <v>729072</v>
      </c>
      <c r="H160">
        <v>273.20299999999997</v>
      </c>
      <c r="I160" t="s">
        <v>146</v>
      </c>
      <c r="J160" t="s">
        <v>27</v>
      </c>
      <c r="K160" t="s">
        <v>164</v>
      </c>
      <c r="L160">
        <f t="shared" si="20"/>
        <v>55.192525252525243</v>
      </c>
      <c r="M160" t="s">
        <v>142</v>
      </c>
      <c r="N160">
        <f t="shared" si="24"/>
        <v>105546.23923315702</v>
      </c>
      <c r="O160">
        <f t="shared" si="22"/>
        <v>1912.3285037284631</v>
      </c>
    </row>
    <row r="161" spans="1:15" x14ac:dyDescent="0.25">
      <c r="A161">
        <v>6</v>
      </c>
      <c r="B161" t="s">
        <v>324</v>
      </c>
      <c r="C161">
        <v>2364</v>
      </c>
      <c r="D161">
        <v>351.79899999999998</v>
      </c>
      <c r="E161">
        <v>831653</v>
      </c>
      <c r="F161">
        <v>317</v>
      </c>
      <c r="G161">
        <v>831653</v>
      </c>
      <c r="H161">
        <v>294.339</v>
      </c>
      <c r="I161" t="s">
        <v>147</v>
      </c>
      <c r="J161" t="s">
        <v>27</v>
      </c>
      <c r="K161" t="s">
        <v>164</v>
      </c>
      <c r="L161">
        <f t="shared" si="20"/>
        <v>59.462424242424241</v>
      </c>
      <c r="M161" t="s">
        <v>142</v>
      </c>
      <c r="N161">
        <f t="shared" si="24"/>
        <v>159507.58346884779</v>
      </c>
      <c r="O161">
        <f>N161/L161</f>
        <v>2682.4937849581488</v>
      </c>
    </row>
    <row r="162" spans="1:15" x14ac:dyDescent="0.25">
      <c r="A162">
        <v>7</v>
      </c>
      <c r="B162" t="s">
        <v>325</v>
      </c>
      <c r="C162">
        <v>1865</v>
      </c>
      <c r="D162">
        <v>317.05799999999999</v>
      </c>
      <c r="E162">
        <v>591313</v>
      </c>
      <c r="F162">
        <v>299</v>
      </c>
      <c r="G162">
        <v>591313</v>
      </c>
      <c r="H162">
        <v>232.79400000000001</v>
      </c>
      <c r="I162" t="s">
        <v>148</v>
      </c>
      <c r="J162" t="s">
        <v>27</v>
      </c>
      <c r="K162" t="s">
        <v>164</v>
      </c>
      <c r="L162">
        <f t="shared" si="20"/>
        <v>47.029090909090911</v>
      </c>
      <c r="M162" t="s">
        <v>142</v>
      </c>
      <c r="N162">
        <f t="shared" si="24"/>
        <v>61045.994149492937</v>
      </c>
      <c r="O162">
        <f t="shared" si="22"/>
        <v>1298.0475056916846</v>
      </c>
    </row>
    <row r="163" spans="1:15" x14ac:dyDescent="0.25">
      <c r="A163">
        <v>8</v>
      </c>
      <c r="B163" t="s">
        <v>326</v>
      </c>
      <c r="C163">
        <v>1808</v>
      </c>
      <c r="D163">
        <v>320.22000000000003</v>
      </c>
      <c r="E163">
        <v>578957</v>
      </c>
      <c r="F163">
        <v>298</v>
      </c>
      <c r="G163">
        <v>578957</v>
      </c>
      <c r="H163">
        <v>225.92699999999999</v>
      </c>
      <c r="I163" t="s">
        <v>149</v>
      </c>
      <c r="J163" t="s">
        <v>27</v>
      </c>
      <c r="K163" t="s">
        <v>164</v>
      </c>
      <c r="L163">
        <f t="shared" si="20"/>
        <v>45.641818181818181</v>
      </c>
      <c r="M163" t="s">
        <v>142</v>
      </c>
      <c r="N163">
        <f t="shared" si="24"/>
        <v>64896.546070929326</v>
      </c>
      <c r="O163">
        <f t="shared" si="22"/>
        <v>1421.8659259455496</v>
      </c>
    </row>
    <row r="164" spans="1:15" x14ac:dyDescent="0.25">
      <c r="A164">
        <v>9</v>
      </c>
      <c r="B164" t="s">
        <v>327</v>
      </c>
      <c r="C164">
        <v>1423</v>
      </c>
      <c r="D164">
        <v>284.33699999999999</v>
      </c>
      <c r="E164">
        <v>404611</v>
      </c>
      <c r="F164">
        <v>284</v>
      </c>
      <c r="G164">
        <v>404611</v>
      </c>
      <c r="H164">
        <v>176.792</v>
      </c>
      <c r="I164" t="s">
        <v>124</v>
      </c>
      <c r="K164" t="s">
        <v>164</v>
      </c>
      <c r="L164">
        <f t="shared" si="20"/>
        <v>35.715555555555554</v>
      </c>
      <c r="M164" t="s">
        <v>142</v>
      </c>
      <c r="O164">
        <f t="shared" si="22"/>
        <v>0</v>
      </c>
    </row>
    <row r="165" spans="1:15" x14ac:dyDescent="0.25">
      <c r="A165">
        <v>10</v>
      </c>
      <c r="B165" t="s">
        <v>328</v>
      </c>
      <c r="C165">
        <v>1628</v>
      </c>
      <c r="D165">
        <v>284.61099999999999</v>
      </c>
      <c r="E165">
        <v>463347</v>
      </c>
      <c r="F165">
        <v>285</v>
      </c>
      <c r="G165">
        <v>463347</v>
      </c>
      <c r="H165">
        <v>202.32300000000001</v>
      </c>
      <c r="I165" t="s">
        <v>124</v>
      </c>
      <c r="K165" t="s">
        <v>164</v>
      </c>
      <c r="L165">
        <f t="shared" si="20"/>
        <v>40.873333333333335</v>
      </c>
      <c r="M165" t="s">
        <v>142</v>
      </c>
      <c r="O165">
        <f t="shared" si="22"/>
        <v>0</v>
      </c>
    </row>
    <row r="166" spans="1:15" x14ac:dyDescent="0.25">
      <c r="A166">
        <v>11</v>
      </c>
      <c r="B166" t="s">
        <v>329</v>
      </c>
      <c r="C166">
        <v>1607</v>
      </c>
      <c r="D166">
        <v>284.029</v>
      </c>
      <c r="E166">
        <v>456434</v>
      </c>
      <c r="F166">
        <v>284</v>
      </c>
      <c r="G166">
        <v>456434</v>
      </c>
      <c r="H166">
        <v>200.03899999999999</v>
      </c>
      <c r="I166" t="s">
        <v>124</v>
      </c>
      <c r="K166" t="s">
        <v>164</v>
      </c>
      <c r="L166">
        <f t="shared" si="20"/>
        <v>40.411919191919189</v>
      </c>
      <c r="M166" t="s">
        <v>142</v>
      </c>
      <c r="O166">
        <f t="shared" si="22"/>
        <v>0</v>
      </c>
    </row>
    <row r="167" spans="1:15" x14ac:dyDescent="0.25">
      <c r="A167">
        <v>1</v>
      </c>
      <c r="B167" t="s">
        <v>330</v>
      </c>
      <c r="C167">
        <v>2194</v>
      </c>
      <c r="D167">
        <v>325.37099999999998</v>
      </c>
      <c r="E167">
        <v>713865</v>
      </c>
      <c r="F167">
        <v>301</v>
      </c>
      <c r="G167">
        <v>713865</v>
      </c>
      <c r="H167">
        <v>273.697</v>
      </c>
      <c r="I167" t="s">
        <v>150</v>
      </c>
      <c r="J167" t="s">
        <v>27</v>
      </c>
      <c r="K167" t="s">
        <v>164</v>
      </c>
      <c r="L167">
        <f t="shared" si="20"/>
        <v>55.292323232323234</v>
      </c>
      <c r="M167" t="s">
        <v>151</v>
      </c>
      <c r="N167">
        <f t="shared" ref="N167:N172" si="25">G167-(((G$175/C$175*C167)+(G$176/C$176*C167)+(G$177/C$177*C167))/3)</f>
        <v>93198.553076047334</v>
      </c>
      <c r="O167">
        <f t="shared" si="22"/>
        <v>1685.5604472333796</v>
      </c>
    </row>
    <row r="168" spans="1:15" x14ac:dyDescent="0.25">
      <c r="A168">
        <v>2</v>
      </c>
      <c r="B168" t="s">
        <v>331</v>
      </c>
      <c r="C168">
        <v>2311</v>
      </c>
      <c r="D168">
        <v>320.29700000000003</v>
      </c>
      <c r="E168">
        <v>740207</v>
      </c>
      <c r="F168">
        <v>293</v>
      </c>
      <c r="G168">
        <v>740207</v>
      </c>
      <c r="H168">
        <v>288.07600000000002</v>
      </c>
      <c r="I168" t="s">
        <v>152</v>
      </c>
      <c r="J168" t="s">
        <v>27</v>
      </c>
      <c r="K168" t="s">
        <v>164</v>
      </c>
      <c r="L168">
        <f t="shared" si="20"/>
        <v>58.19717171717172</v>
      </c>
      <c r="M168" t="s">
        <v>151</v>
      </c>
      <c r="N168">
        <f t="shared" si="25"/>
        <v>86442.114475271315</v>
      </c>
      <c r="O168">
        <f t="shared" si="22"/>
        <v>1485.3318799642907</v>
      </c>
    </row>
    <row r="169" spans="1:15" x14ac:dyDescent="0.25">
      <c r="A169">
        <v>3</v>
      </c>
      <c r="B169" t="s">
        <v>332</v>
      </c>
      <c r="C169">
        <v>2472</v>
      </c>
      <c r="D169">
        <v>334.48599999999999</v>
      </c>
      <c r="E169">
        <v>826850</v>
      </c>
      <c r="F169">
        <v>303</v>
      </c>
      <c r="G169">
        <v>826850</v>
      </c>
      <c r="H169">
        <v>307.82799999999997</v>
      </c>
      <c r="I169" t="s">
        <v>153</v>
      </c>
      <c r="J169" t="s">
        <v>27</v>
      </c>
      <c r="K169" t="s">
        <v>164</v>
      </c>
      <c r="L169">
        <f t="shared" si="20"/>
        <v>62.187474747474738</v>
      </c>
      <c r="M169" t="s">
        <v>151</v>
      </c>
      <c r="N169">
        <f t="shared" si="25"/>
        <v>127539.39981950272</v>
      </c>
      <c r="O169">
        <f t="shared" si="22"/>
        <v>2050.8856540228262</v>
      </c>
    </row>
    <row r="170" spans="1:15" x14ac:dyDescent="0.25">
      <c r="A170">
        <v>4</v>
      </c>
      <c r="B170" t="s">
        <v>333</v>
      </c>
      <c r="C170">
        <v>2179</v>
      </c>
      <c r="D170">
        <v>340.56299999999999</v>
      </c>
      <c r="E170">
        <v>742086</v>
      </c>
      <c r="F170">
        <v>303</v>
      </c>
      <c r="G170">
        <v>742086</v>
      </c>
      <c r="H170">
        <v>272.113</v>
      </c>
      <c r="I170" t="s">
        <v>154</v>
      </c>
      <c r="J170" t="s">
        <v>27</v>
      </c>
      <c r="K170" t="s">
        <v>164</v>
      </c>
      <c r="L170">
        <f t="shared" si="20"/>
        <v>54.972323232323234</v>
      </c>
      <c r="M170" t="s">
        <v>151</v>
      </c>
      <c r="N170">
        <f t="shared" si="25"/>
        <v>125662.9426402495</v>
      </c>
      <c r="O170">
        <f t="shared" si="22"/>
        <v>2285.9310877070739</v>
      </c>
    </row>
    <row r="171" spans="1:15" x14ac:dyDescent="0.25">
      <c r="A171">
        <v>5</v>
      </c>
      <c r="B171" t="s">
        <v>334</v>
      </c>
      <c r="C171">
        <v>1992</v>
      </c>
      <c r="D171">
        <v>323.66800000000001</v>
      </c>
      <c r="E171">
        <v>644746</v>
      </c>
      <c r="F171">
        <v>303</v>
      </c>
      <c r="G171">
        <v>644746</v>
      </c>
      <c r="H171">
        <v>249.73699999999999</v>
      </c>
      <c r="I171" t="s">
        <v>155</v>
      </c>
      <c r="J171" t="s">
        <v>27</v>
      </c>
      <c r="K171" t="s">
        <v>164</v>
      </c>
      <c r="L171">
        <f t="shared" si="20"/>
        <v>50.451919191919188</v>
      </c>
      <c r="M171" t="s">
        <v>151</v>
      </c>
      <c r="N171">
        <f t="shared" si="25"/>
        <v>81223.865873968229</v>
      </c>
      <c r="O171">
        <f t="shared" si="22"/>
        <v>1609.92618665293</v>
      </c>
    </row>
    <row r="172" spans="1:15" x14ac:dyDescent="0.25">
      <c r="A172">
        <v>6</v>
      </c>
      <c r="B172" t="s">
        <v>335</v>
      </c>
      <c r="C172">
        <v>1815</v>
      </c>
      <c r="D172">
        <v>313.74900000000002</v>
      </c>
      <c r="E172">
        <v>569454</v>
      </c>
      <c r="F172">
        <v>294</v>
      </c>
      <c r="G172">
        <v>569454</v>
      </c>
      <c r="H172">
        <v>227.08099999999999</v>
      </c>
      <c r="I172" t="s">
        <v>156</v>
      </c>
      <c r="J172" t="s">
        <v>27</v>
      </c>
      <c r="K172" t="s">
        <v>164</v>
      </c>
      <c r="L172">
        <f t="shared" si="20"/>
        <v>45.87494949494949</v>
      </c>
      <c r="M172" t="s">
        <v>151</v>
      </c>
      <c r="N172">
        <f t="shared" si="25"/>
        <v>56003.862731552392</v>
      </c>
      <c r="O172">
        <f t="shared" si="22"/>
        <v>1220.793992104951</v>
      </c>
    </row>
    <row r="173" spans="1:15" x14ac:dyDescent="0.25">
      <c r="A173">
        <v>7</v>
      </c>
      <c r="B173" t="s">
        <v>336</v>
      </c>
      <c r="C173">
        <v>2326</v>
      </c>
      <c r="D173">
        <v>329.44900000000001</v>
      </c>
      <c r="E173">
        <v>766298</v>
      </c>
      <c r="F173">
        <v>298</v>
      </c>
      <c r="G173">
        <v>766298</v>
      </c>
      <c r="H173">
        <v>291.596</v>
      </c>
      <c r="I173" t="s">
        <v>157</v>
      </c>
      <c r="J173" t="s">
        <v>27</v>
      </c>
      <c r="K173" t="s">
        <v>164</v>
      </c>
      <c r="L173">
        <f t="shared" si="20"/>
        <v>58.908282828282829</v>
      </c>
      <c r="M173" t="s">
        <v>151</v>
      </c>
      <c r="N173">
        <f t="shared" ref="N173:N174" si="26">G173-(((G$175/C$175*C173)+(G$176/C$176*C173)+(G$177/C$177*C173))/3)</f>
        <v>108289.72491106938</v>
      </c>
      <c r="O173">
        <f t="shared" si="22"/>
        <v>1838.2767195359108</v>
      </c>
    </row>
    <row r="174" spans="1:15" x14ac:dyDescent="0.25">
      <c r="A174">
        <v>8</v>
      </c>
      <c r="B174" t="s">
        <v>337</v>
      </c>
      <c r="C174">
        <v>2205</v>
      </c>
      <c r="D174">
        <v>324.536</v>
      </c>
      <c r="E174">
        <v>715602</v>
      </c>
      <c r="F174">
        <v>301</v>
      </c>
      <c r="G174">
        <v>715602</v>
      </c>
      <c r="H174">
        <v>274.38200000000001</v>
      </c>
      <c r="I174" t="s">
        <v>158</v>
      </c>
      <c r="J174" t="s">
        <v>27</v>
      </c>
      <c r="K174" t="s">
        <v>164</v>
      </c>
      <c r="L174">
        <f t="shared" si="20"/>
        <v>55.430707070707072</v>
      </c>
      <c r="M174" t="s">
        <v>151</v>
      </c>
      <c r="N174">
        <f t="shared" si="26"/>
        <v>91823.734062299249</v>
      </c>
      <c r="O174">
        <f t="shared" si="22"/>
        <v>1656.5499326062979</v>
      </c>
    </row>
    <row r="175" spans="1:15" x14ac:dyDescent="0.25">
      <c r="A175">
        <v>9</v>
      </c>
      <c r="B175" t="s">
        <v>338</v>
      </c>
      <c r="C175">
        <v>1407</v>
      </c>
      <c r="D175">
        <v>282.75200000000001</v>
      </c>
      <c r="E175">
        <v>397832</v>
      </c>
      <c r="F175">
        <v>283</v>
      </c>
      <c r="G175">
        <v>397832</v>
      </c>
      <c r="H175">
        <v>174.95699999999999</v>
      </c>
      <c r="I175" t="s">
        <v>124</v>
      </c>
      <c r="K175" t="s">
        <v>164</v>
      </c>
      <c r="L175">
        <f t="shared" si="20"/>
        <v>35.344848484848484</v>
      </c>
      <c r="M175" t="s">
        <v>151</v>
      </c>
      <c r="O175">
        <f t="shared" si="22"/>
        <v>0</v>
      </c>
    </row>
    <row r="176" spans="1:15" x14ac:dyDescent="0.25">
      <c r="A176">
        <v>10</v>
      </c>
      <c r="B176" t="s">
        <v>339</v>
      </c>
      <c r="C176">
        <v>1637</v>
      </c>
      <c r="D176">
        <v>282.96199999999999</v>
      </c>
      <c r="E176">
        <v>463209</v>
      </c>
      <c r="F176">
        <v>283</v>
      </c>
      <c r="G176">
        <v>463209</v>
      </c>
      <c r="H176">
        <v>203.82300000000001</v>
      </c>
      <c r="I176" t="s">
        <v>124</v>
      </c>
      <c r="K176" t="s">
        <v>164</v>
      </c>
      <c r="L176">
        <f t="shared" si="20"/>
        <v>41.176363636363639</v>
      </c>
      <c r="M176" t="s">
        <v>151</v>
      </c>
      <c r="O176">
        <f t="shared" si="22"/>
        <v>0</v>
      </c>
    </row>
    <row r="177" spans="1:15" x14ac:dyDescent="0.25">
      <c r="A177">
        <v>11</v>
      </c>
      <c r="B177" t="s">
        <v>340</v>
      </c>
      <c r="C177">
        <v>1576</v>
      </c>
      <c r="D177">
        <v>282.964</v>
      </c>
      <c r="E177">
        <v>445951</v>
      </c>
      <c r="F177">
        <v>283</v>
      </c>
      <c r="G177">
        <v>445951</v>
      </c>
      <c r="H177">
        <v>196.94399999999999</v>
      </c>
      <c r="I177" t="s">
        <v>124</v>
      </c>
      <c r="K177" t="s">
        <v>164</v>
      </c>
      <c r="L177">
        <f t="shared" si="20"/>
        <v>39.786666666666662</v>
      </c>
      <c r="M177" t="s">
        <v>151</v>
      </c>
      <c r="O177">
        <f t="shared" si="22"/>
        <v>0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2023-06-23T09:57:19Z</dcterms:modified>
</cp:coreProperties>
</file>