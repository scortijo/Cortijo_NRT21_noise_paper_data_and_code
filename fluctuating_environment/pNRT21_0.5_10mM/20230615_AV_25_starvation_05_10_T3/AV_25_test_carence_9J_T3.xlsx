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0715" windowHeight="1327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68" i="1" l="1"/>
  <c r="N156" i="1" l="1"/>
  <c r="N112" i="1"/>
  <c r="N26" i="1"/>
  <c r="N25" i="1"/>
  <c r="N24" i="1"/>
  <c r="N170" i="1" l="1"/>
  <c r="N169" i="1"/>
  <c r="N168" i="1"/>
  <c r="N167" i="1"/>
  <c r="N135" i="1"/>
  <c r="N134" i="1"/>
  <c r="N14" i="1" l="1"/>
  <c r="N15" i="1"/>
  <c r="N16" i="1"/>
  <c r="N17" i="1"/>
  <c r="N18" i="1"/>
  <c r="N19" i="1"/>
  <c r="N20" i="1"/>
  <c r="N13" i="1"/>
  <c r="N27" i="1"/>
  <c r="N28" i="1"/>
  <c r="N29" i="1"/>
  <c r="N30" i="1"/>
  <c r="N31" i="1"/>
  <c r="N36" i="1"/>
  <c r="N37" i="1"/>
  <c r="N38" i="1"/>
  <c r="N39" i="1"/>
  <c r="N40" i="1"/>
  <c r="N41" i="1"/>
  <c r="N42" i="1"/>
  <c r="N35" i="1"/>
  <c r="N47" i="1"/>
  <c r="N48" i="1"/>
  <c r="N49" i="1"/>
  <c r="N50" i="1"/>
  <c r="N51" i="1"/>
  <c r="N52" i="1"/>
  <c r="N53" i="1"/>
  <c r="N46" i="1"/>
  <c r="N58" i="1"/>
  <c r="N59" i="1"/>
  <c r="N60" i="1"/>
  <c r="N61" i="1"/>
  <c r="N62" i="1"/>
  <c r="N63" i="1"/>
  <c r="N64" i="1"/>
  <c r="N57" i="1"/>
  <c r="N69" i="1"/>
  <c r="N70" i="1"/>
  <c r="N71" i="1"/>
  <c r="N72" i="1"/>
  <c r="N73" i="1"/>
  <c r="N74" i="1"/>
  <c r="N75" i="1"/>
  <c r="N172" i="1" l="1"/>
  <c r="N171" i="1"/>
  <c r="N157" i="1"/>
  <c r="L34" i="1"/>
  <c r="N4" i="1"/>
  <c r="N3" i="1"/>
  <c r="N2" i="1"/>
  <c r="L133" i="1" l="1"/>
  <c r="L134" i="1"/>
  <c r="L135" i="1"/>
  <c r="L136" i="1"/>
  <c r="L137" i="1"/>
  <c r="L138" i="1"/>
  <c r="L139" i="1"/>
  <c r="L140" i="1"/>
  <c r="L141" i="1"/>
  <c r="L142" i="1"/>
  <c r="L143" i="1"/>
  <c r="O143" i="1" s="1"/>
  <c r="L144" i="1"/>
  <c r="O144" i="1" s="1"/>
  <c r="L145" i="1"/>
  <c r="L146" i="1"/>
  <c r="L147" i="1"/>
  <c r="L148" i="1"/>
  <c r="L149" i="1"/>
  <c r="L150" i="1"/>
  <c r="L151" i="1"/>
  <c r="L152" i="1"/>
  <c r="L153" i="1"/>
  <c r="O153" i="1" s="1"/>
  <c r="L154" i="1"/>
  <c r="L155" i="1"/>
  <c r="O155" i="1" s="1"/>
  <c r="L156" i="1"/>
  <c r="L157" i="1"/>
  <c r="L158" i="1"/>
  <c r="L159" i="1"/>
  <c r="L160" i="1"/>
  <c r="L161" i="1"/>
  <c r="L162" i="1"/>
  <c r="L163" i="1"/>
  <c r="L164" i="1"/>
  <c r="O164" i="1" s="1"/>
  <c r="L165" i="1"/>
  <c r="O165" i="1" s="1"/>
  <c r="L166" i="1"/>
  <c r="L167" i="1"/>
  <c r="L168" i="1"/>
  <c r="L169" i="1"/>
  <c r="L170" i="1"/>
  <c r="L171" i="1"/>
  <c r="L172" i="1"/>
  <c r="L173" i="1"/>
  <c r="L174" i="1"/>
  <c r="L175" i="1"/>
  <c r="O175" i="1" s="1"/>
  <c r="L176" i="1"/>
  <c r="O176" i="1" s="1"/>
  <c r="L177" i="1"/>
  <c r="O177" i="1" s="1"/>
  <c r="O142" i="1"/>
  <c r="O154" i="1"/>
  <c r="O166" i="1"/>
  <c r="O157" i="1"/>
  <c r="N158" i="1"/>
  <c r="O158" i="1" s="1"/>
  <c r="N159" i="1"/>
  <c r="N160" i="1"/>
  <c r="N161" i="1"/>
  <c r="O161" i="1" s="1"/>
  <c r="N162" i="1"/>
  <c r="O162" i="1" s="1"/>
  <c r="N163" i="1"/>
  <c r="O169" i="1"/>
  <c r="O170" i="1"/>
  <c r="N173" i="1"/>
  <c r="O173" i="1" s="1"/>
  <c r="N174" i="1"/>
  <c r="O174" i="1" s="1"/>
  <c r="N141" i="1"/>
  <c r="O141" i="1" s="1"/>
  <c r="N140" i="1"/>
  <c r="N139" i="1"/>
  <c r="N138" i="1"/>
  <c r="O138" i="1" s="1"/>
  <c r="N137" i="1"/>
  <c r="O137" i="1" s="1"/>
  <c r="N136" i="1"/>
  <c r="O134" i="1"/>
  <c r="N149" i="1"/>
  <c r="O149" i="1" s="1"/>
  <c r="N148" i="1"/>
  <c r="N147" i="1"/>
  <c r="N146" i="1"/>
  <c r="O146" i="1" s="1"/>
  <c r="N145" i="1"/>
  <c r="O145" i="1" s="1"/>
  <c r="N150" i="1"/>
  <c r="O150" i="1" s="1"/>
  <c r="N151" i="1"/>
  <c r="N152" i="1"/>
  <c r="O135" i="1" l="1"/>
  <c r="O172" i="1"/>
  <c r="O168" i="1"/>
  <c r="O160" i="1"/>
  <c r="O156" i="1"/>
  <c r="O152" i="1"/>
  <c r="O148" i="1"/>
  <c r="O140" i="1"/>
  <c r="O136" i="1"/>
  <c r="O171" i="1"/>
  <c r="O167" i="1"/>
  <c r="O163" i="1"/>
  <c r="O159" i="1"/>
  <c r="O151" i="1"/>
  <c r="O147" i="1"/>
  <c r="O139" i="1"/>
  <c r="N106" i="1"/>
  <c r="N105" i="1"/>
  <c r="N104" i="1"/>
  <c r="N103" i="1"/>
  <c r="N102" i="1"/>
  <c r="N101" i="1"/>
  <c r="N94" i="1"/>
  <c r="N93" i="1"/>
  <c r="N92" i="1"/>
  <c r="N91" i="1"/>
  <c r="N90" i="1"/>
  <c r="N86" i="1"/>
  <c r="N85" i="1"/>
  <c r="N84" i="1"/>
  <c r="N83" i="1"/>
  <c r="N82" i="1"/>
  <c r="N81" i="1"/>
  <c r="N80" i="1"/>
  <c r="N79" i="1"/>
  <c r="O41" i="1"/>
  <c r="L37" i="1"/>
  <c r="L38" i="1"/>
  <c r="L39" i="1"/>
  <c r="L40" i="1"/>
  <c r="L41" i="1"/>
  <c r="L42" i="1"/>
  <c r="L43" i="1"/>
  <c r="O43" i="1" s="1"/>
  <c r="L44" i="1"/>
  <c r="O44" i="1" s="1"/>
  <c r="L45" i="1"/>
  <c r="O45" i="1" s="1"/>
  <c r="L46" i="1"/>
  <c r="L47" i="1"/>
  <c r="L48" i="1"/>
  <c r="L49" i="1"/>
  <c r="L50" i="1"/>
  <c r="L51" i="1"/>
  <c r="L52" i="1"/>
  <c r="L53" i="1"/>
  <c r="L54" i="1"/>
  <c r="O54" i="1" s="1"/>
  <c r="L55" i="1"/>
  <c r="O55" i="1" s="1"/>
  <c r="L56" i="1"/>
  <c r="O56" i="1" s="1"/>
  <c r="L57" i="1"/>
  <c r="L58" i="1"/>
  <c r="L59" i="1"/>
  <c r="L60" i="1"/>
  <c r="L61" i="1"/>
  <c r="L62" i="1"/>
  <c r="L63" i="1"/>
  <c r="L64" i="1"/>
  <c r="L65" i="1"/>
  <c r="O65" i="1" s="1"/>
  <c r="L66" i="1"/>
  <c r="O66" i="1" s="1"/>
  <c r="L67" i="1"/>
  <c r="O67" i="1" s="1"/>
  <c r="L68" i="1"/>
  <c r="L69" i="1"/>
  <c r="L70" i="1"/>
  <c r="L71" i="1"/>
  <c r="L72" i="1"/>
  <c r="L73" i="1"/>
  <c r="L74" i="1"/>
  <c r="L75" i="1"/>
  <c r="L76" i="1"/>
  <c r="O76" i="1" s="1"/>
  <c r="L77" i="1"/>
  <c r="O77" i="1" s="1"/>
  <c r="L78" i="1"/>
  <c r="O78" i="1" s="1"/>
  <c r="L79" i="1"/>
  <c r="L80" i="1"/>
  <c r="L81" i="1"/>
  <c r="L82" i="1"/>
  <c r="L83" i="1"/>
  <c r="L84" i="1"/>
  <c r="L85" i="1"/>
  <c r="L86" i="1"/>
  <c r="L87" i="1"/>
  <c r="O87" i="1" s="1"/>
  <c r="L88" i="1"/>
  <c r="O88" i="1" s="1"/>
  <c r="L89" i="1"/>
  <c r="O89" i="1" s="1"/>
  <c r="L90" i="1"/>
  <c r="L91" i="1"/>
  <c r="L92" i="1"/>
  <c r="L93" i="1"/>
  <c r="L94" i="1"/>
  <c r="L95" i="1"/>
  <c r="L96" i="1"/>
  <c r="L97" i="1"/>
  <c r="L98" i="1"/>
  <c r="O98" i="1" s="1"/>
  <c r="L99" i="1"/>
  <c r="O99" i="1" s="1"/>
  <c r="L100" i="1"/>
  <c r="O100" i="1" s="1"/>
  <c r="L101" i="1"/>
  <c r="L102" i="1"/>
  <c r="L103" i="1"/>
  <c r="L104" i="1"/>
  <c r="L105" i="1"/>
  <c r="L106" i="1"/>
  <c r="L107" i="1"/>
  <c r="L108" i="1"/>
  <c r="L109" i="1"/>
  <c r="O109" i="1" s="1"/>
  <c r="L110" i="1"/>
  <c r="O110" i="1" s="1"/>
  <c r="L111" i="1"/>
  <c r="O111" i="1" s="1"/>
  <c r="L112" i="1"/>
  <c r="L113" i="1"/>
  <c r="L114" i="1"/>
  <c r="L115" i="1"/>
  <c r="L116" i="1"/>
  <c r="L117" i="1"/>
  <c r="L118" i="1"/>
  <c r="L119" i="1"/>
  <c r="L120" i="1"/>
  <c r="O120" i="1" s="1"/>
  <c r="L121" i="1"/>
  <c r="O121" i="1" s="1"/>
  <c r="L122" i="1"/>
  <c r="O122" i="1" s="1"/>
  <c r="L123" i="1"/>
  <c r="L124" i="1"/>
  <c r="L125" i="1"/>
  <c r="L126" i="1"/>
  <c r="L127" i="1"/>
  <c r="L128" i="1"/>
  <c r="L129" i="1"/>
  <c r="L130" i="1"/>
  <c r="L131" i="1"/>
  <c r="O131" i="1" s="1"/>
  <c r="L132" i="1"/>
  <c r="O132" i="1" s="1"/>
  <c r="O133" i="1"/>
  <c r="O68" i="1" l="1"/>
  <c r="O47" i="1"/>
  <c r="O39" i="1"/>
  <c r="O69" i="1"/>
  <c r="O37" i="1"/>
  <c r="O40" i="1"/>
  <c r="O57" i="1"/>
  <c r="O42" i="1"/>
  <c r="O38" i="1"/>
  <c r="O48" i="1"/>
  <c r="O46" i="1"/>
  <c r="N114" i="1"/>
  <c r="O114" i="1" s="1"/>
  <c r="N113" i="1"/>
  <c r="O113" i="1" s="1"/>
  <c r="O112" i="1"/>
  <c r="O71" i="1"/>
  <c r="O70" i="1"/>
  <c r="O62" i="1"/>
  <c r="O61" i="1"/>
  <c r="O60" i="1"/>
  <c r="O59" i="1"/>
  <c r="O58" i="1"/>
  <c r="O49" i="1"/>
  <c r="N6" i="1" l="1"/>
  <c r="N5" i="1"/>
  <c r="O93" i="1" l="1"/>
  <c r="O92" i="1"/>
  <c r="O91" i="1"/>
  <c r="O94" i="1"/>
  <c r="N95" i="1"/>
  <c r="O95" i="1" s="1"/>
  <c r="N96" i="1"/>
  <c r="O96" i="1" s="1"/>
  <c r="N97" i="1"/>
  <c r="O97" i="1" s="1"/>
  <c r="N9" i="1"/>
  <c r="N8" i="1"/>
  <c r="N7" i="1"/>
  <c r="L2" i="1"/>
  <c r="O2" i="1" s="1"/>
  <c r="L3" i="1"/>
  <c r="O3" i="1" s="1"/>
  <c r="L4" i="1"/>
  <c r="O4" i="1" s="1"/>
  <c r="L5" i="1"/>
  <c r="O5" i="1" s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5" i="1"/>
  <c r="O35" i="1" s="1"/>
  <c r="L36" i="1"/>
  <c r="O36" i="1" s="1"/>
  <c r="N130" i="1" l="1"/>
  <c r="O130" i="1" s="1"/>
  <c r="O74" i="1"/>
  <c r="O75" i="1"/>
  <c r="N127" i="1"/>
  <c r="O127" i="1" s="1"/>
  <c r="N126" i="1"/>
  <c r="O126" i="1" s="1"/>
  <c r="N125" i="1"/>
  <c r="O125" i="1" s="1"/>
  <c r="N124" i="1"/>
  <c r="O124" i="1" s="1"/>
  <c r="N115" i="1"/>
  <c r="O115" i="1" s="1"/>
  <c r="N116" i="1"/>
  <c r="O116" i="1" s="1"/>
  <c r="N117" i="1"/>
  <c r="O117" i="1" s="1"/>
  <c r="N118" i="1"/>
  <c r="O118" i="1" s="1"/>
  <c r="N119" i="1"/>
  <c r="O119" i="1" s="1"/>
  <c r="O102" i="1"/>
  <c r="O103" i="1"/>
  <c r="O104" i="1"/>
  <c r="O105" i="1"/>
  <c r="O106" i="1"/>
  <c r="N107" i="1"/>
  <c r="O107" i="1" s="1"/>
  <c r="N108" i="1"/>
  <c r="O108" i="1" s="1"/>
  <c r="O101" i="1"/>
  <c r="O85" i="1"/>
  <c r="O84" i="1"/>
  <c r="O82" i="1"/>
  <c r="O81" i="1"/>
  <c r="O10" i="1"/>
  <c r="O11" i="1"/>
  <c r="O12" i="1"/>
  <c r="O14" i="1" l="1"/>
  <c r="O20" i="1"/>
  <c r="O17" i="1"/>
  <c r="O18" i="1"/>
  <c r="O16" i="1"/>
  <c r="O15" i="1"/>
  <c r="O19" i="1"/>
  <c r="O6" i="1"/>
  <c r="O8" i="1"/>
  <c r="O9" i="1"/>
  <c r="O7" i="1"/>
  <c r="O83" i="1"/>
  <c r="O26" i="1" l="1"/>
  <c r="O51" i="1"/>
  <c r="N129" i="1"/>
  <c r="O129" i="1" s="1"/>
  <c r="O90" i="1" l="1"/>
  <c r="O79" i="1"/>
  <c r="N128" i="1" l="1"/>
  <c r="O128" i="1" s="1"/>
  <c r="N123" i="1"/>
  <c r="O123" i="1" s="1"/>
  <c r="O86" i="1"/>
  <c r="O80" i="1"/>
  <c r="O64" i="1"/>
  <c r="O72" i="1"/>
  <c r="O73" i="1"/>
  <c r="O63" i="1"/>
  <c r="O50" i="1"/>
  <c r="O52" i="1"/>
  <c r="O53" i="1"/>
  <c r="O27" i="1"/>
  <c r="O21" i="1"/>
  <c r="O22" i="1"/>
  <c r="O23" i="1"/>
  <c r="O24" i="1"/>
  <c r="O25" i="1"/>
  <c r="O31" i="1"/>
  <c r="O32" i="1"/>
  <c r="O33" i="1"/>
  <c r="O34" i="1"/>
  <c r="O28" i="1" l="1"/>
  <c r="O30" i="1"/>
  <c r="O29" i="1"/>
  <c r="O13" i="1"/>
</calcChain>
</file>

<file path=xl/sharedStrings.xml><?xml version="1.0" encoding="utf-8"?>
<sst xmlns="http://schemas.openxmlformats.org/spreadsheetml/2006/main" count="847" uniqueCount="341">
  <si>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</si>
  <si>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</si>
  <si>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</si>
  <si>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</si>
  <si>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</si>
  <si>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</si>
  <si>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</si>
  <si>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</si>
  <si>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</si>
  <si>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</si>
  <si>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</si>
  <si>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RawIntDen-norm_bckg</t>
  </si>
  <si>
    <t>RawIntDen_normBackg_normLen</t>
  </si>
  <si>
    <t>PLATE</t>
  </si>
  <si>
    <t>plate1</t>
  </si>
  <si>
    <t>plate2</t>
  </si>
  <si>
    <t>plate3</t>
  </si>
  <si>
    <t>plate4</t>
  </si>
  <si>
    <t>number</t>
  </si>
  <si>
    <t>plate5</t>
  </si>
  <si>
    <t>plate6</t>
  </si>
  <si>
    <t>plate7</t>
  </si>
  <si>
    <t>plate8</t>
  </si>
  <si>
    <t>plate9</t>
  </si>
  <si>
    <t>plate10</t>
  </si>
  <si>
    <t>plate11</t>
  </si>
  <si>
    <t>plate12</t>
  </si>
  <si>
    <t>pNRT2.1:LUC</t>
  </si>
  <si>
    <t>seedling1</t>
  </si>
  <si>
    <t>seedling2</t>
  </si>
  <si>
    <t>seedling3</t>
  </si>
  <si>
    <t>seedling4</t>
  </si>
  <si>
    <t>seedling5</t>
  </si>
  <si>
    <t>seedling6</t>
  </si>
  <si>
    <t>seedling7</t>
  </si>
  <si>
    <t>seedling8</t>
  </si>
  <si>
    <t>seedling9</t>
  </si>
  <si>
    <t>seedling10</t>
  </si>
  <si>
    <t>seedling11</t>
  </si>
  <si>
    <t>seedling12</t>
  </si>
  <si>
    <t>seedling13</t>
  </si>
  <si>
    <t>seedling14</t>
  </si>
  <si>
    <t>seedling15</t>
  </si>
  <si>
    <t>seedling16</t>
  </si>
  <si>
    <t>seedling17</t>
  </si>
  <si>
    <t>seedling27</t>
  </si>
  <si>
    <t>seedling37</t>
  </si>
  <si>
    <t>seedling47</t>
  </si>
  <si>
    <t>seedling57</t>
  </si>
  <si>
    <t>seedling67</t>
  </si>
  <si>
    <t>seedling77</t>
  </si>
  <si>
    <t>seedling87</t>
  </si>
  <si>
    <t>seedling18</t>
  </si>
  <si>
    <t>seedling19</t>
  </si>
  <si>
    <t>seedling20</t>
  </si>
  <si>
    <t>seedling21</t>
  </si>
  <si>
    <t>seedling22</t>
  </si>
  <si>
    <t>seedling23</t>
  </si>
  <si>
    <t>seedling24</t>
  </si>
  <si>
    <t>seedling25</t>
  </si>
  <si>
    <t>seedling26</t>
  </si>
  <si>
    <t>seedling28</t>
  </si>
  <si>
    <t>seedling29</t>
  </si>
  <si>
    <t>seedling30</t>
  </si>
  <si>
    <t>seedling31</t>
  </si>
  <si>
    <t>seedling32</t>
  </si>
  <si>
    <t>seedling33</t>
  </si>
  <si>
    <t>seedling34</t>
  </si>
  <si>
    <t>seedling35</t>
  </si>
  <si>
    <t>seedling36</t>
  </si>
  <si>
    <t>seedling38</t>
  </si>
  <si>
    <t>seedling39</t>
  </si>
  <si>
    <t>seedling40</t>
  </si>
  <si>
    <t>seedling41</t>
  </si>
  <si>
    <t>seedling42</t>
  </si>
  <si>
    <t>seedling43</t>
  </si>
  <si>
    <t>seedling44</t>
  </si>
  <si>
    <t>seedling45</t>
  </si>
  <si>
    <t>seedling46</t>
  </si>
  <si>
    <t>seedling48</t>
  </si>
  <si>
    <t>seedling49</t>
  </si>
  <si>
    <t>seedling50</t>
  </si>
  <si>
    <t>seedling51</t>
  </si>
  <si>
    <t>seedling52</t>
  </si>
  <si>
    <t>seedling53</t>
  </si>
  <si>
    <t>seedling54</t>
  </si>
  <si>
    <t>seedling55</t>
  </si>
  <si>
    <t>seedling56</t>
  </si>
  <si>
    <t>seedling58</t>
  </si>
  <si>
    <t>seedling59</t>
  </si>
  <si>
    <t>seedling60</t>
  </si>
  <si>
    <t>seedling61</t>
  </si>
  <si>
    <t>seedling62</t>
  </si>
  <si>
    <t>seedling63</t>
  </si>
  <si>
    <t>seedling64</t>
  </si>
  <si>
    <t>seedling65</t>
  </si>
  <si>
    <t>seedling66</t>
  </si>
  <si>
    <t>seedling68</t>
  </si>
  <si>
    <t>seedling69</t>
  </si>
  <si>
    <t>seedling70</t>
  </si>
  <si>
    <t>seedling71</t>
  </si>
  <si>
    <t>seedling72</t>
  </si>
  <si>
    <t>seedling73</t>
  </si>
  <si>
    <t>seedling74</t>
  </si>
  <si>
    <t>seedling75</t>
  </si>
  <si>
    <t>seedling76</t>
  </si>
  <si>
    <t>seedling78</t>
  </si>
  <si>
    <t>seedling79</t>
  </si>
  <si>
    <t>seedling80</t>
  </si>
  <si>
    <t>seedling81</t>
  </si>
  <si>
    <t>seedling82</t>
  </si>
  <si>
    <t>seedling83</t>
  </si>
  <si>
    <t>seedling84</t>
  </si>
  <si>
    <t>seedling85</t>
  </si>
  <si>
    <t>seedling86</t>
  </si>
  <si>
    <t>seedling88</t>
  </si>
  <si>
    <t>seedling89</t>
  </si>
  <si>
    <t>seedling90</t>
  </si>
  <si>
    <t>seedling91</t>
  </si>
  <si>
    <t>seedling92</t>
  </si>
  <si>
    <t>seedling93</t>
  </si>
  <si>
    <t>seedling94</t>
  </si>
  <si>
    <t>seedling95</t>
  </si>
  <si>
    <t>seedling96</t>
  </si>
  <si>
    <t>background</t>
  </si>
  <si>
    <t>seedling97</t>
  </si>
  <si>
    <t>plate13</t>
  </si>
  <si>
    <t>seedling98</t>
  </si>
  <si>
    <t>seedling99</t>
  </si>
  <si>
    <t>seedling100</t>
  </si>
  <si>
    <t>seedling102</t>
  </si>
  <si>
    <t>seedling103</t>
  </si>
  <si>
    <t>seedling104</t>
  </si>
  <si>
    <t>seedling105</t>
  </si>
  <si>
    <t>plate14</t>
  </si>
  <si>
    <t>seedling107</t>
  </si>
  <si>
    <t>seedling108</t>
  </si>
  <si>
    <t>seedling109</t>
  </si>
  <si>
    <t>seedling110</t>
  </si>
  <si>
    <t>seedling111</t>
  </si>
  <si>
    <t>seedling112</t>
  </si>
  <si>
    <t>seedling113</t>
  </si>
  <si>
    <t>plate15</t>
  </si>
  <si>
    <t>seedling114</t>
  </si>
  <si>
    <t>seedling115</t>
  </si>
  <si>
    <t>seedling116</t>
  </si>
  <si>
    <t>seedling117</t>
  </si>
  <si>
    <t>seedling118</t>
  </si>
  <si>
    <t>seedling119</t>
  </si>
  <si>
    <t>seedling120</t>
  </si>
  <si>
    <t>seedling121</t>
  </si>
  <si>
    <t>plate16</t>
  </si>
  <si>
    <t>seedling122</t>
  </si>
  <si>
    <t>seedling123</t>
  </si>
  <si>
    <t>seedling124</t>
  </si>
  <si>
    <t>seedling125</t>
  </si>
  <si>
    <t>seedling126</t>
  </si>
  <si>
    <t>seedling127</t>
  </si>
  <si>
    <t>seedling128</t>
  </si>
  <si>
    <t>seedling101</t>
  </si>
  <si>
    <t>seedling106</t>
  </si>
  <si>
    <t>0.5mM-&gt;10mM</t>
  </si>
  <si>
    <t>0.5mM-&gt;0.5mM</t>
  </si>
  <si>
    <t>10mM-&gt;0.5mM</t>
  </si>
  <si>
    <t>10mM-&gt;10mM</t>
  </si>
  <si>
    <t>20230615_pNRT21_0.5_T3_N1_luc.tif:0163-0056</t>
  </si>
  <si>
    <t>20230615_pNRT21_0.5_T3_N1_luc.tif:0169-0100</t>
  </si>
  <si>
    <t>20230615_pNRT21_0.5_T3_N1_luc.tif:0183-0159</t>
  </si>
  <si>
    <t>20230615_pNRT21_0.5_T3_N1_luc.tif:0180-0210</t>
  </si>
  <si>
    <t>20230615_pNRT21_0.5_T3_N1_luc.tif:0191-0254</t>
  </si>
  <si>
    <t>20230615_pNRT21_0.5_T3_N1_luc.tif:0177-0301</t>
  </si>
  <si>
    <t>20230615_pNRT21_0.5_T3_N1_luc.tif:0156-0357</t>
  </si>
  <si>
    <t>20230615_pNRT21_0.5_T3_N1_luc.tif:0184-0415</t>
  </si>
  <si>
    <t>20230615_pNRT21_0.5_T3_N1_luc.tif:0361-0447</t>
  </si>
  <si>
    <t>20230615_pNRT21_0.5_T3_N1_luc.tif:0381-0351</t>
  </si>
  <si>
    <t>20230615_pNRT21_0.5_T3_N1_luc.tif:0424-0242</t>
  </si>
  <si>
    <t>20230615_pNRT21_0.5_T3_N2_luc.tif:0197-0046</t>
  </si>
  <si>
    <t>20230615_pNRT21_0.5_T3_N2_luc.tif:0174-0081</t>
  </si>
  <si>
    <t>20230615_pNRT21_0.5_T3_N2_luc.tif:0175-0133</t>
  </si>
  <si>
    <t>20230615_pNRT21_0.5_T3_N2_luc.tif:0169-0179</t>
  </si>
  <si>
    <t>20230615_pNRT21_0.5_T3_N2_luc.tif:0185-0253</t>
  </si>
  <si>
    <t>20230615_pNRT21_0.5_T3_N2_luc.tif:0210-0310</t>
  </si>
  <si>
    <t>20230615_pNRT21_0.5_T3_N2_luc.tif:0200-0346</t>
  </si>
  <si>
    <t>20230615_pNRT21_0.5_T3_N2_luc.tif:0188-0387</t>
  </si>
  <si>
    <t>20230615_pNRT21_0.5_T3_N2_luc.tif:0381-0440</t>
  </si>
  <si>
    <t>20230615_pNRT21_0.5_T3_N2_luc.tif:0399-0256</t>
  </si>
  <si>
    <t>20230615_pNRT21_0.5_T3_N2_luc.tif:0404-0199</t>
  </si>
  <si>
    <t>20230615_pNRT21_0.5_T3_N3_luc.tif:0212-0063</t>
  </si>
  <si>
    <t>20230615_pNRT21_0.5_T3_N3_luc.tif:0187-0095</t>
  </si>
  <si>
    <t>20230615_pNRT21_0.5_T3_N3_luc.tif:0192-0157</t>
  </si>
  <si>
    <t>20230615_pNRT21_0.5_T3_N3_luc.tif:0185-0197</t>
  </si>
  <si>
    <t>20230615_pNRT21_0.5_T3_N3_luc.tif:0164-0245</t>
  </si>
  <si>
    <t>20230615_pNRT21_0.5_T3_N3_luc.tif:0195-0299</t>
  </si>
  <si>
    <t>20230615_pNRT21_0.5_T3_N3_luc.tif:0154-0370</t>
  </si>
  <si>
    <t>20230615_pNRT21_0.5_T3_N3_luc.tif:0179-0404</t>
  </si>
  <si>
    <t>20230615_pNRT21_0.5_T3_N3_luc.tif:0377-0434</t>
  </si>
  <si>
    <t>20230615_pNRT21_0.5_T3_N3_luc.tif:0382-0337</t>
  </si>
  <si>
    <t>20230615_pNRT21_0.5_T3_N3_luc.tif:0388-0256</t>
  </si>
  <si>
    <t>20230615_pNRT21_0.5_T3_N4_luc.tif:0202-0048</t>
  </si>
  <si>
    <t>20230615_pNRT21_0.5_T3_N4_luc.tif:0208-0106</t>
  </si>
  <si>
    <t>20230615_pNRT21_0.5_T3_N4_luc.tif:0182-0157</t>
  </si>
  <si>
    <t>20230615_pNRT21_0.5_T3_N4_luc.tif:0199-0209</t>
  </si>
  <si>
    <t>20230615_pNRT21_0.5_T3_N4_luc.tif:0204-0273</t>
  </si>
  <si>
    <t>20230615_pNRT21_0.5_T3_N4_luc.tif:0185-0312</t>
  </si>
  <si>
    <t>20230615_pNRT21_0.5_T3_N4_luc.tif:0202-0374</t>
  </si>
  <si>
    <t>20230615_pNRT21_0.5_T3_N4_luc.tif:0224-0412</t>
  </si>
  <si>
    <t>20230615_pNRT21_0.5_T3_N4_luc.tif:0388-0441</t>
  </si>
  <si>
    <t>20230615_pNRT21_0.5_T3_N4_luc.tif:0398-0339</t>
  </si>
  <si>
    <t>20230615_pNRT21_0.5_T3_N4_luc.tif:0393-0185</t>
  </si>
  <si>
    <t>20230615_pNRT21_0.5_T3_N5_luc.tif:0182-0057</t>
  </si>
  <si>
    <t>20230615_pNRT21_0.5_T3_N5_luc.tif:0190-0095</t>
  </si>
  <si>
    <t>20230615_pNRT21_0.5_T3_N5_luc.tif:0179-0145</t>
  </si>
  <si>
    <t>20230615_pNRT21_0.5_T3_N5_luc.tif:0182-0196</t>
  </si>
  <si>
    <t>20230615_pNRT21_0.5_T3_N5_luc.tif:0188-0256</t>
  </si>
  <si>
    <t>20230615_pNRT21_0.5_T3_N5_luc.tif:0165-0315</t>
  </si>
  <si>
    <t>20230615_pNRT21_0.5_T3_N5_luc.tif:0183-0348</t>
  </si>
  <si>
    <t>20230615_pNRT21_0.5_T3_N5_luc.tif:0201-0390</t>
  </si>
  <si>
    <t>20230615_pNRT21_0.5_T3_N5_luc.tif:0361-0434</t>
  </si>
  <si>
    <t>20230615_pNRT21_0.5_T3_N5_luc.tif:0390-0340</t>
  </si>
  <si>
    <t>20230615_pNRT21_0.5_T3_N5_luc.tif:0383-0277</t>
  </si>
  <si>
    <t>20230615_pNRT21_0.5_T3_N6_luc.tif:0210-0052</t>
  </si>
  <si>
    <t>20230615_pNRT21_0.5_T3_N6_luc.tif:0193-0090</t>
  </si>
  <si>
    <t>20230615_pNRT21_0.5_T3_N6_luc.tif:0216-0137</t>
  </si>
  <si>
    <t>20230615_pNRT21_0.5_T3_N6_luc.tif:0218-0197</t>
  </si>
  <si>
    <t>20230615_pNRT21_0.5_T3_N6_luc.tif:0185-0256</t>
  </si>
  <si>
    <t>20230615_pNRT21_0.5_T3_N6_luc.tif:0172-0304</t>
  </si>
  <si>
    <t>20230615_pNRT21_0.5_T3_N6_luc.tif:0196-0350</t>
  </si>
  <si>
    <t>20230615_pNRT21_0.5_T3_N6_luc.tif:0186-0402</t>
  </si>
  <si>
    <t>20230615_pNRT21_0.5_T3_N6_luc.tif:0388-0433</t>
  </si>
  <si>
    <t>20230615_pNRT21_0.5_T3_N6_luc.tif:0390-0376</t>
  </si>
  <si>
    <t>20230615_pNRT21_0.5_T3_N6_luc.tif:0394-0271</t>
  </si>
  <si>
    <t>20230615_pNRT21_0.5_T3_N7_luc.tif:0172-0046</t>
  </si>
  <si>
    <t>20230615_pNRT21_0.5_T3_N7_luc.tif:0172-0106</t>
  </si>
  <si>
    <t>20230615_pNRT21_0.5_T3_N7_luc.tif:0191-0150</t>
  </si>
  <si>
    <t>20230615_pNRT21_0.5_T3_N7_luc.tif:0216-0201</t>
  </si>
  <si>
    <t>20230615_pNRT21_0.5_T3_N7_luc.tif:0205-0231</t>
  </si>
  <si>
    <t>20230615_pNRT21_0.5_T3_N7_luc.tif:0177-0298</t>
  </si>
  <si>
    <t>20230615_pNRT21_0.5_T3_N7_luc.tif:0161-0359</t>
  </si>
  <si>
    <t>20230615_pNRT21_0.5_T3_N7_luc.tif:0186-0404</t>
  </si>
  <si>
    <t>20230615_pNRT21_0.5_T3_N7_luc.tif:0370-0422</t>
  </si>
  <si>
    <t>20230615_pNRT21_0.5_T3_N7_luc.tif:0378-0355</t>
  </si>
  <si>
    <t>20230615_pNRT21_0.5_T3_N7_luc.tif:0381-0272</t>
  </si>
  <si>
    <t>20230615_pNRT21_0.5_T3_N8_luc.tif:0186-0060</t>
  </si>
  <si>
    <t>20230615_pNRT21_0.5_T3_N8_luc.tif:0225-0095</t>
  </si>
  <si>
    <t>20230615_pNRT21_0.5_T3_N8_luc.tif:0202-0151</t>
  </si>
  <si>
    <t>20230615_pNRT21_0.5_T3_N8_luc.tif:0190-0207</t>
  </si>
  <si>
    <t>20230615_pNRT21_0.5_T3_N8_luc.tif:0168-0260</t>
  </si>
  <si>
    <t>20230615_pNRT21_0.5_T3_N8_luc.tif:0184-0303</t>
  </si>
  <si>
    <t>20230615_pNRT21_0.5_T3_N8_luc.tif:0188-0365</t>
  </si>
  <si>
    <t>20230615_pNRT21_0.5_T3_N8_luc.tif:0219-0401</t>
  </si>
  <si>
    <t>20230615_pNRT21_0.5_T3_N8_luc.tif:0383-0440</t>
  </si>
  <si>
    <t>20230615_pNRT21_0.5_T3_N8_luc.tif:0376-0342</t>
  </si>
  <si>
    <t>20230615_pNRT21_0.5_T3_N8_luc.tif:0367-0237</t>
  </si>
  <si>
    <t>20230615_pNRT21_10_T3_N9_luc.tif:0220-0043</t>
  </si>
  <si>
    <t>20230615_pNRT21_10_T3_N9_luc.tif:0204-0094</t>
  </si>
  <si>
    <t>20230615_pNRT21_10_T3_N9_luc.tif:0180-0152</t>
  </si>
  <si>
    <t>20230615_pNRT21_10_T3_N9_luc.tif:0181-0192</t>
  </si>
  <si>
    <t>20230615_pNRT21_10_T3_N9_luc.tif:0169-0252</t>
  </si>
  <si>
    <t>20230615_pNRT21_10_T3_N9_luc.tif:0212-0296</t>
  </si>
  <si>
    <t>20230615_pNRT21_10_T3_N9_luc.tif:0176-0352</t>
  </si>
  <si>
    <t>20230615_pNRT21_10_T3_N9_luc.tif:0192-0404</t>
  </si>
  <si>
    <t>20230615_pNRT21_10_T3_N9_luc.tif:0370-0436</t>
  </si>
  <si>
    <t>20230615_pNRT21_10_T3_N9_luc.tif:0364-0371</t>
  </si>
  <si>
    <t>20230615_pNRT21_10_T3_N9_luc.tif:0374-0277</t>
  </si>
  <si>
    <t>20230615_pNRT21_10_T3_N10_luc.tif:0210-0050</t>
  </si>
  <si>
    <t>20230615_pNRT21_10_T3_N10_luc.tif:0219-0107</t>
  </si>
  <si>
    <t>20230615_pNRT21_10_T3_N10_luc.tif:0196-0155</t>
  </si>
  <si>
    <t>20230615_pNRT21_10_T3_N10_luc.tif:0202-0210</t>
  </si>
  <si>
    <t>20230615_pNRT21_10_T3_N10_luc.tif:0201-0276</t>
  </si>
  <si>
    <t>20230615_pNRT21_10_T3_N10_luc.tif:0198-0308</t>
  </si>
  <si>
    <t>20230615_pNRT21_10_T3_N10_luc.tif:0221-0349</t>
  </si>
  <si>
    <t>20230615_pNRT21_10_T3_N10_luc.tif:0183-0404</t>
  </si>
  <si>
    <t>20230615_pNRT21_10_T3_N10_luc.tif:0360-0432</t>
  </si>
  <si>
    <t>20230615_pNRT21_10_T3_N10_luc.tif:0392-0270</t>
  </si>
  <si>
    <t>20230615_pNRT21_10_T3_N10_luc.tif:0385-0195</t>
  </si>
  <si>
    <t>20230615_pNRT21_10_T3_N11_luc.tif:0192-0072</t>
  </si>
  <si>
    <t>20230615_pNRT21_10_T3_N11_luc.tif:0216-0102</t>
  </si>
  <si>
    <t>20230615_pNRT21_10_T3_N11_luc.tif:0201-0152</t>
  </si>
  <si>
    <t>20230615_pNRT21_10_T3_N11_luc.tif:0205-0204</t>
  </si>
  <si>
    <t>20230615_pNRT21_10_T3_N11_luc.tif:0194-0252</t>
  </si>
  <si>
    <t>20230615_pNRT21_10_T3_N11_luc.tif:0200-0306</t>
  </si>
  <si>
    <t>20230615_pNRT21_10_T3_N11_luc.tif:0203-0361</t>
  </si>
  <si>
    <t>20230615_pNRT21_10_T3_N11_luc.tif:0223-0405</t>
  </si>
  <si>
    <t>20230615_pNRT21_10_T3_N11_luc.tif:0380-0443</t>
  </si>
  <si>
    <t>20230615_pNRT21_10_T3_N11_luc.tif:0379-0369</t>
  </si>
  <si>
    <t>20230615_pNRT21_10_T3_N11_luc.tif:0382-0290</t>
  </si>
  <si>
    <t>20230615_pNRT21_10_T3_N12_luc.tif:0196-0062</t>
  </si>
  <si>
    <t>20230615_pNRT21_10_T3_N12_luc.tif:0210-0105</t>
  </si>
  <si>
    <t>20230615_pNRT21_10_T3_N12_luc.tif:0218-0167</t>
  </si>
  <si>
    <t>20230615_pNRT21_10_T3_N12_luc.tif:0197-0220</t>
  </si>
  <si>
    <t>20230615_pNRT21_10_T3_N12_luc.tif:0175-0269</t>
  </si>
  <si>
    <t>20230615_pNRT21_10_T3_N12_luc.tif:0212-0317</t>
  </si>
  <si>
    <t>20230615_pNRT21_10_T3_N12_luc.tif:0192-0358</t>
  </si>
  <si>
    <t>20230615_pNRT21_10_T3_N12_luc.tif:0200-0419</t>
  </si>
  <si>
    <t>20230615_pNRT21_10_T3_N12_luc.tif:0353-0450</t>
  </si>
  <si>
    <t>20230615_pNRT21_10_T3_N12_luc.tif:0379-0377</t>
  </si>
  <si>
    <t>20230615_pNRT21_10_T3_N12_luc.tif:0382-0278</t>
  </si>
  <si>
    <t>20230615_pNRT21_10_T3_N13_luc.tif:0198-0059</t>
  </si>
  <si>
    <t>20230615_pNRT21_10_T3_N13_luc.tif:0191-0104</t>
  </si>
  <si>
    <t>20230615_pNRT21_10_T3_N13_luc.tif:0198-0161</t>
  </si>
  <si>
    <t>20230615_pNRT21_10_T3_N13_luc.tif:0195-0219</t>
  </si>
  <si>
    <t>20230615_pNRT21_10_T3_N13_luc.tif:0220-0263</t>
  </si>
  <si>
    <t>20230615_pNRT21_10_T3_N13_luc.tif:0204-0317</t>
  </si>
  <si>
    <t>20230615_pNRT21_10_T3_N13_luc.tif:0203-0358</t>
  </si>
  <si>
    <t>20230615_pNRT21_10_T3_N13_luc.tif:0200-0416</t>
  </si>
  <si>
    <t>20230615_pNRT21_10_T3_N13_luc.tif:0377-0443</t>
  </si>
  <si>
    <t>20230615_pNRT21_10_T3_N13_luc.tif:0391-0375</t>
  </si>
  <si>
    <t>20230615_pNRT21_10_T3_N13_luc.tif:0412-0238</t>
  </si>
  <si>
    <t>20230615_pNRT21_10_T3_N14_luc.tif:0231-0064</t>
  </si>
  <si>
    <t>20230615_pNRT21_10_T3_N14_luc.tif:0212-0113</t>
  </si>
  <si>
    <t>20230615_pNRT21_10_T3_N14_luc.tif:0219-0154</t>
  </si>
  <si>
    <t>20230615_pNRT21_10_T3_N14_luc.tif:0212-0217</t>
  </si>
  <si>
    <t>20230615_pNRT21_10_T3_N14_luc.tif:0215-0250</t>
  </si>
  <si>
    <t>20230615_pNRT21_10_T3_N14_luc.tif:0217-0331</t>
  </si>
  <si>
    <t>20230615_pNRT21_10_T3_N14_luc.tif:0224-0372</t>
  </si>
  <si>
    <t>20230615_pNRT21_10_T3_N14_luc.tif:0218-0415</t>
  </si>
  <si>
    <t>20230615_pNRT21_10_T3_N14_luc.tif:0377-0447</t>
  </si>
  <si>
    <t>20230615_pNRT21_10_T3_N14_luc.tif:0380-0309</t>
  </si>
  <si>
    <t>20230615_pNRT21_10_T3_N14_luc.tif:0378-0270</t>
  </si>
  <si>
    <t>20230615_pNRT21_10_T3_N15_luc.tif:0191-0062</t>
  </si>
  <si>
    <t>20230615_pNRT21_10_T3_N15_luc.tif:0207-0117</t>
  </si>
  <si>
    <t>20230615_pNRT21_10_T3_N15_luc.tif:0193-0139</t>
  </si>
  <si>
    <t>20230615_pNRT21_10_T3_N15_luc.tif:0171-0218</t>
  </si>
  <si>
    <t>20230615_pNRT21_10_T3_N15_luc.tif:0204-0274</t>
  </si>
  <si>
    <t>20230615_pNRT21_10_T3_N15_luc.tif:0212-0302</t>
  </si>
  <si>
    <t>20230615_pNRT21_10_T3_N15_luc.tif:0187-0360</t>
  </si>
  <si>
    <t>20230615_pNRT21_10_T3_N15_luc.tif:0188-0435</t>
  </si>
  <si>
    <t>20230615_pNRT21_10_T3_N15_luc.tif:0351-0407</t>
  </si>
  <si>
    <t>20230615_pNRT21_10_T3_N15_luc.tif:0367-0232</t>
  </si>
  <si>
    <t>20230615_pNRT21_10_T3_N15_luc.tif:0369-0178</t>
  </si>
  <si>
    <t>20230615_pNRT21_10_T3_N16_luc.tif:0202-0063</t>
  </si>
  <si>
    <t>20230615_pNRT21_10_T3_N16_luc.tif:0212-0100</t>
  </si>
  <si>
    <t>20230615_pNRT21_10_T3_N16_luc.tif:0209-0163</t>
  </si>
  <si>
    <t>20230615_pNRT21_10_T3_N16_luc.tif:0203-0233</t>
  </si>
  <si>
    <t>20230615_pNRT21_10_T3_N16_luc.tif:0188-0281</t>
  </si>
  <si>
    <t>20230615_pNRT21_10_T3_N16_luc.tif:0183-0321</t>
  </si>
  <si>
    <t>20230615_pNRT21_10_T3_N16_luc.tif:0208-0354</t>
  </si>
  <si>
    <t>20230615_pNRT21_10_T3_N16_luc.tif:0198-0411</t>
  </si>
  <si>
    <t>20230615_pNRT21_10_T3_N16_luc.tif:0368-0450</t>
  </si>
  <si>
    <t>20230615_pNRT21_10_T3_N16_luc.tif:0372-0362</t>
  </si>
  <si>
    <t>20230615_pNRT21_10_T3_N16_luc.tif:0385-0274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</si>
</sst>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7"/>
  <sheetViews>
    <sheetView tabSelected="1" topLeftCell="A139" zoomScale="85" zoomScaleNormal="85" workbookViewId="0">
      <selection activeCell="A167" sqref="A167:H177"/>
    </sheetView>
  </sheetViews>
  <sheetFormatPr baseColWidth="10" defaultColWidth="9.140625" defaultRowHeight="15" x14ac:dyDescent="0.25"/>
  <cols>
    <col min="2" max="2" width="51.85546875" customWidth="1"/>
    <col min="7" max="7" width="13.42578125" customWidth="1"/>
    <col min="8" max="8" width="11.85546875" customWidth="1"/>
    <col min="9" max="9" width="13.7109375" customWidth="1"/>
    <col min="10" max="10" width="20.42578125" customWidth="1"/>
    <col min="11" max="11" width="22" customWidth="1"/>
    <col min="12" max="12" width="14.28515625" customWidth="1"/>
    <col min="13" max="13" width="21.140625" customWidth="1"/>
    <col min="14" max="14" width="23.28515625" customWidth="1"/>
    <col min="15" max="15" width="27.140625" customWidth="1"/>
  </cols>
  <sheetData>
    <row r="1" spans="1:15" x14ac:dyDescent="0.2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</v>
      </c>
      <c r="N1" t="s">
        <v>11</v>
      </c>
      <c r="O1" s="1" t="s">
        <v>12</v>
      </c>
    </row>
    <row r="2" spans="1:15" x14ac:dyDescent="0.25">
      <c r="A2">
        <v>1</v>
      </c>
      <c r="B2" t="s">
        <v>165</v>
      </c>
      <c r="C2">
        <v>1237</v>
      </c>
      <c r="D2">
        <v>341.79199999999997</v>
      </c>
      <c r="E2">
        <v>422797</v>
      </c>
      <c r="F2">
        <v>311</v>
      </c>
      <c r="G2">
        <v>422797</v>
      </c>
      <c r="H2">
        <v>154.09</v>
      </c>
      <c r="I2" t="s">
        <v>28</v>
      </c>
      <c r="J2" t="s">
        <v>27</v>
      </c>
      <c r="K2" t="s">
        <v>161</v>
      </c>
      <c r="L2">
        <f t="shared" ref="L2:L65" si="0">H2/4.95</f>
        <v>31.12929292929293</v>
      </c>
      <c r="M2" t="s">
        <v>14</v>
      </c>
      <c r="N2">
        <f>G2-(((G$10/C$10*C2)+(G$11/C$11*C2)+(G$12/C$12*C2))/3)</f>
        <v>66232.753716548439</v>
      </c>
      <c r="O2">
        <f t="shared" ref="O2" si="1">N2/L2</f>
        <v>2127.6664994283519</v>
      </c>
    </row>
    <row r="3" spans="1:15" x14ac:dyDescent="0.25">
      <c r="A3">
        <v>2</v>
      </c>
      <c r="B3" t="s">
        <v>166</v>
      </c>
      <c r="C3">
        <v>1374</v>
      </c>
      <c r="D3">
        <v>322.48700000000002</v>
      </c>
      <c r="E3">
        <v>443097</v>
      </c>
      <c r="F3">
        <v>302</v>
      </c>
      <c r="G3">
        <v>443097</v>
      </c>
      <c r="H3">
        <v>171.07599999999999</v>
      </c>
      <c r="I3" t="s">
        <v>29</v>
      </c>
      <c r="J3" t="s">
        <v>27</v>
      </c>
      <c r="K3" t="s">
        <v>161</v>
      </c>
      <c r="L3">
        <f t="shared" si="0"/>
        <v>34.56080808080808</v>
      </c>
      <c r="M3" t="s">
        <v>14</v>
      </c>
      <c r="N3">
        <f>G3-(((G$10/C$10*C3)+(G$11/C$11*C3)+(G$12/C$12*C3))/3)</f>
        <v>47042.614879981847</v>
      </c>
      <c r="O3">
        <f>N3/L3</f>
        <v>1361.1549466664533</v>
      </c>
    </row>
    <row r="4" spans="1:15" x14ac:dyDescent="0.25">
      <c r="A4">
        <v>3</v>
      </c>
      <c r="B4" t="s">
        <v>167</v>
      </c>
      <c r="C4">
        <v>1658</v>
      </c>
      <c r="D4">
        <v>324.31700000000001</v>
      </c>
      <c r="E4">
        <v>537718</v>
      </c>
      <c r="F4">
        <v>304</v>
      </c>
      <c r="G4">
        <v>537718</v>
      </c>
      <c r="H4">
        <v>206.798</v>
      </c>
      <c r="I4" t="s">
        <v>30</v>
      </c>
      <c r="J4" t="s">
        <v>27</v>
      </c>
      <c r="K4" t="s">
        <v>161</v>
      </c>
      <c r="L4">
        <f t="shared" si="0"/>
        <v>41.777373737373736</v>
      </c>
      <c r="M4" t="s">
        <v>14</v>
      </c>
      <c r="N4">
        <f>G4-(((G$10/C$10*C4)+(G$11/C$11*C4)+(G$12/C$12*C4))/3)</f>
        <v>59800.845320967957</v>
      </c>
      <c r="O4">
        <f>N4/L4</f>
        <v>1431.4170559618149</v>
      </c>
    </row>
    <row r="5" spans="1:15" x14ac:dyDescent="0.25">
      <c r="A5">
        <v>4</v>
      </c>
      <c r="B5" t="s">
        <v>168</v>
      </c>
      <c r="C5">
        <v>1694</v>
      </c>
      <c r="D5">
        <v>353.74400000000003</v>
      </c>
      <c r="E5">
        <v>599243</v>
      </c>
      <c r="F5">
        <v>316</v>
      </c>
      <c r="G5">
        <v>599243</v>
      </c>
      <c r="H5">
        <v>214.25</v>
      </c>
      <c r="I5" t="s">
        <v>31</v>
      </c>
      <c r="J5" t="s">
        <v>27</v>
      </c>
      <c r="K5" t="s">
        <v>161</v>
      </c>
      <c r="L5">
        <f t="shared" si="0"/>
        <v>43.282828282828284</v>
      </c>
      <c r="M5" t="s">
        <v>14</v>
      </c>
      <c r="N5">
        <f>G5-(((G$10/C$10*C5)+(G$11/C$11*C5)+(G$12/C$12*C5))/3)</f>
        <v>110948.87453179719</v>
      </c>
      <c r="O5">
        <f>N5/L5</f>
        <v>2563.3462260555243</v>
      </c>
    </row>
    <row r="6" spans="1:15" x14ac:dyDescent="0.25">
      <c r="A6">
        <v>5</v>
      </c>
      <c r="B6" t="s">
        <v>169</v>
      </c>
      <c r="C6">
        <v>1783</v>
      </c>
      <c r="D6">
        <v>355.31099999999998</v>
      </c>
      <c r="E6">
        <v>633519</v>
      </c>
      <c r="F6">
        <v>326</v>
      </c>
      <c r="G6">
        <v>633519</v>
      </c>
      <c r="H6">
        <v>222.38399999999999</v>
      </c>
      <c r="I6" t="s">
        <v>32</v>
      </c>
      <c r="J6" t="s">
        <v>27</v>
      </c>
      <c r="K6" t="s">
        <v>161</v>
      </c>
      <c r="L6">
        <f t="shared" si="0"/>
        <v>44.926060606060602</v>
      </c>
      <c r="M6" t="s">
        <v>14</v>
      </c>
      <c r="N6">
        <f>G6-(((G$10/C$10*C6)+(G$11/C$11*C6)+(G$12/C$12*C6))/3)</f>
        <v>119570.69674745831</v>
      </c>
      <c r="O6">
        <f t="shared" ref="O6:O12" si="2">N6/L6</f>
        <v>2661.4996982692942</v>
      </c>
    </row>
    <row r="7" spans="1:15" x14ac:dyDescent="0.25">
      <c r="A7">
        <v>6</v>
      </c>
      <c r="B7" t="s">
        <v>170</v>
      </c>
      <c r="C7">
        <v>1570</v>
      </c>
      <c r="D7">
        <v>361.19400000000002</v>
      </c>
      <c r="E7">
        <v>567075</v>
      </c>
      <c r="F7">
        <v>331</v>
      </c>
      <c r="G7">
        <v>567075</v>
      </c>
      <c r="H7">
        <v>195.67</v>
      </c>
      <c r="I7" t="s">
        <v>33</v>
      </c>
      <c r="J7" t="s">
        <v>27</v>
      </c>
      <c r="K7" t="s">
        <v>161</v>
      </c>
      <c r="L7">
        <f t="shared" si="0"/>
        <v>39.529292929292929</v>
      </c>
      <c r="M7" t="s">
        <v>14</v>
      </c>
      <c r="N7">
        <f t="shared" ref="N7:N9" si="3">G7-(((G$10/C$10*C7)+(G$11/C$11*C7)+(G$12/C$12*C7))/3)</f>
        <v>114523.77391671878</v>
      </c>
      <c r="O7">
        <f t="shared" si="2"/>
        <v>2897.1875141194764</v>
      </c>
    </row>
    <row r="8" spans="1:15" x14ac:dyDescent="0.25">
      <c r="A8">
        <v>7</v>
      </c>
      <c r="B8" t="s">
        <v>171</v>
      </c>
      <c r="C8">
        <v>1308</v>
      </c>
      <c r="D8">
        <v>302.11</v>
      </c>
      <c r="E8">
        <v>395160</v>
      </c>
      <c r="F8">
        <v>293</v>
      </c>
      <c r="G8">
        <v>395160</v>
      </c>
      <c r="H8">
        <v>163.11600000000001</v>
      </c>
      <c r="I8" t="s">
        <v>34</v>
      </c>
      <c r="J8" t="s">
        <v>27</v>
      </c>
      <c r="K8" t="s">
        <v>161</v>
      </c>
      <c r="L8">
        <f t="shared" si="0"/>
        <v>32.952727272727273</v>
      </c>
      <c r="M8" t="s">
        <v>14</v>
      </c>
      <c r="N8">
        <f t="shared" si="3"/>
        <v>18130.061326794967</v>
      </c>
      <c r="O8">
        <f t="shared" si="2"/>
        <v>550.1839400649543</v>
      </c>
    </row>
    <row r="9" spans="1:15" x14ac:dyDescent="0.25">
      <c r="A9">
        <v>8</v>
      </c>
      <c r="B9" t="s">
        <v>172</v>
      </c>
      <c r="C9">
        <v>1696</v>
      </c>
      <c r="D9">
        <v>334.38900000000001</v>
      </c>
      <c r="E9">
        <v>567124</v>
      </c>
      <c r="F9">
        <v>311</v>
      </c>
      <c r="G9">
        <v>567124</v>
      </c>
      <c r="H9">
        <v>211.68600000000001</v>
      </c>
      <c r="I9" t="s">
        <v>35</v>
      </c>
      <c r="J9" t="s">
        <v>27</v>
      </c>
      <c r="K9" t="s">
        <v>161</v>
      </c>
      <c r="L9">
        <f t="shared" si="0"/>
        <v>42.764848484848486</v>
      </c>
      <c r="M9" t="s">
        <v>14</v>
      </c>
      <c r="N9">
        <f t="shared" si="3"/>
        <v>78253.376154620957</v>
      </c>
      <c r="O9">
        <f t="shared" si="2"/>
        <v>1829.8527628911395</v>
      </c>
    </row>
    <row r="10" spans="1:15" x14ac:dyDescent="0.25">
      <c r="A10">
        <v>9</v>
      </c>
      <c r="B10" t="s">
        <v>173</v>
      </c>
      <c r="C10">
        <v>1154</v>
      </c>
      <c r="D10">
        <v>288.29199999999997</v>
      </c>
      <c r="E10">
        <v>332689</v>
      </c>
      <c r="F10">
        <v>288</v>
      </c>
      <c r="G10">
        <v>332689</v>
      </c>
      <c r="H10">
        <v>143.54499999999999</v>
      </c>
      <c r="I10" t="s">
        <v>124</v>
      </c>
      <c r="K10" t="s">
        <v>161</v>
      </c>
      <c r="L10">
        <f t="shared" si="0"/>
        <v>28.998989898989894</v>
      </c>
      <c r="M10" t="s">
        <v>14</v>
      </c>
      <c r="O10">
        <f>N10/L10</f>
        <v>0</v>
      </c>
    </row>
    <row r="11" spans="1:15" x14ac:dyDescent="0.25">
      <c r="A11">
        <v>10</v>
      </c>
      <c r="B11" t="s">
        <v>174</v>
      </c>
      <c r="C11">
        <v>1501</v>
      </c>
      <c r="D11">
        <v>288.26799999999997</v>
      </c>
      <c r="E11">
        <v>432691</v>
      </c>
      <c r="F11">
        <v>288</v>
      </c>
      <c r="G11">
        <v>432691</v>
      </c>
      <c r="H11">
        <v>186.66800000000001</v>
      </c>
      <c r="I11" t="s">
        <v>124</v>
      </c>
      <c r="K11" t="s">
        <v>161</v>
      </c>
      <c r="L11">
        <f t="shared" si="0"/>
        <v>37.710707070707073</v>
      </c>
      <c r="M11" t="s">
        <v>14</v>
      </c>
      <c r="O11">
        <f t="shared" si="2"/>
        <v>0</v>
      </c>
    </row>
    <row r="12" spans="1:15" x14ac:dyDescent="0.25">
      <c r="A12">
        <v>11</v>
      </c>
      <c r="B12" t="s">
        <v>175</v>
      </c>
      <c r="C12">
        <v>1112</v>
      </c>
      <c r="D12">
        <v>288.18700000000001</v>
      </c>
      <c r="E12">
        <v>320464</v>
      </c>
      <c r="F12">
        <v>288</v>
      </c>
      <c r="G12">
        <v>320464</v>
      </c>
      <c r="H12">
        <v>138.24600000000001</v>
      </c>
      <c r="I12" t="s">
        <v>124</v>
      </c>
      <c r="K12" t="s">
        <v>161</v>
      </c>
      <c r="L12">
        <f t="shared" si="0"/>
        <v>27.92848484848485</v>
      </c>
      <c r="M12" t="s">
        <v>14</v>
      </c>
      <c r="O12">
        <f t="shared" si="2"/>
        <v>0</v>
      </c>
    </row>
    <row r="13" spans="1:15" x14ac:dyDescent="0.25">
      <c r="A13">
        <v>1</v>
      </c>
      <c r="B13" t="s">
        <v>176</v>
      </c>
      <c r="C13">
        <v>1593</v>
      </c>
      <c r="D13">
        <v>320.04500000000002</v>
      </c>
      <c r="E13">
        <v>509831</v>
      </c>
      <c r="F13">
        <v>299</v>
      </c>
      <c r="G13">
        <v>509831</v>
      </c>
      <c r="H13">
        <v>198.613</v>
      </c>
      <c r="I13" t="s">
        <v>36</v>
      </c>
      <c r="J13" t="s">
        <v>27</v>
      </c>
      <c r="K13" t="s">
        <v>161</v>
      </c>
      <c r="L13">
        <f t="shared" si="0"/>
        <v>40.123838383838383</v>
      </c>
      <c r="M13" t="s">
        <v>15</v>
      </c>
      <c r="N13">
        <f>G13-(((G$21/C$21*C13)+(G$22/C$22*C13)+(G$23/C$23*C13))/3)</f>
        <v>53316.590681519359</v>
      </c>
      <c r="O13">
        <f t="shared" ref="O13:O76" si="4">N13/L13</f>
        <v>1328.8008532851366</v>
      </c>
    </row>
    <row r="14" spans="1:15" x14ac:dyDescent="0.25">
      <c r="A14">
        <v>2</v>
      </c>
      <c r="B14" t="s">
        <v>177</v>
      </c>
      <c r="C14">
        <v>1374</v>
      </c>
      <c r="D14">
        <v>308.54500000000002</v>
      </c>
      <c r="E14">
        <v>423941</v>
      </c>
      <c r="F14">
        <v>293</v>
      </c>
      <c r="G14">
        <v>423941</v>
      </c>
      <c r="H14">
        <v>170.83799999999999</v>
      </c>
      <c r="I14" t="s">
        <v>37</v>
      </c>
      <c r="J14" t="s">
        <v>27</v>
      </c>
      <c r="K14" t="s">
        <v>161</v>
      </c>
      <c r="L14">
        <f t="shared" si="0"/>
        <v>34.512727272727268</v>
      </c>
      <c r="M14" t="s">
        <v>15</v>
      </c>
      <c r="N14">
        <f t="shared" ref="N14:N20" si="5">G14-(((G$21/C$21*C14)+(G$22/C$22*C14)+(G$23/C$23*C14))/3)</f>
        <v>30186.575390086335</v>
      </c>
      <c r="O14">
        <f t="shared" ref="O14:O20" si="6">N14/L14</f>
        <v>874.65053548348362</v>
      </c>
    </row>
    <row r="15" spans="1:15" x14ac:dyDescent="0.25">
      <c r="A15">
        <v>3</v>
      </c>
      <c r="B15" t="s">
        <v>178</v>
      </c>
      <c r="C15">
        <v>1437</v>
      </c>
      <c r="D15">
        <v>347.488</v>
      </c>
      <c r="E15">
        <v>499340</v>
      </c>
      <c r="F15">
        <v>319</v>
      </c>
      <c r="G15">
        <v>499340</v>
      </c>
      <c r="H15">
        <v>178.297</v>
      </c>
      <c r="I15" t="s">
        <v>38</v>
      </c>
      <c r="J15" t="s">
        <v>27</v>
      </c>
      <c r="K15" t="s">
        <v>161</v>
      </c>
      <c r="L15">
        <f t="shared" si="0"/>
        <v>36.019595959595961</v>
      </c>
      <c r="M15" t="s">
        <v>15</v>
      </c>
      <c r="N15">
        <f t="shared" si="5"/>
        <v>87531.333213649224</v>
      </c>
      <c r="O15">
        <f t="shared" si="6"/>
        <v>2430.1031391866586</v>
      </c>
    </row>
    <row r="16" spans="1:15" x14ac:dyDescent="0.25">
      <c r="A16">
        <v>4</v>
      </c>
      <c r="B16" t="s">
        <v>179</v>
      </c>
      <c r="C16">
        <v>1513</v>
      </c>
      <c r="D16">
        <v>320.63200000000001</v>
      </c>
      <c r="E16">
        <v>485116</v>
      </c>
      <c r="F16">
        <v>297</v>
      </c>
      <c r="G16">
        <v>485116</v>
      </c>
      <c r="H16">
        <v>189.203</v>
      </c>
      <c r="I16" t="s">
        <v>39</v>
      </c>
      <c r="J16" t="s">
        <v>27</v>
      </c>
      <c r="K16" t="s">
        <v>161</v>
      </c>
      <c r="L16">
        <f t="shared" si="0"/>
        <v>38.222828282828281</v>
      </c>
      <c r="M16" t="s">
        <v>15</v>
      </c>
      <c r="N16">
        <f t="shared" si="5"/>
        <v>51527.612492867978</v>
      </c>
      <c r="O16">
        <f t="shared" si="6"/>
        <v>1348.0847652505324</v>
      </c>
    </row>
    <row r="17" spans="1:15" x14ac:dyDescent="0.25">
      <c r="A17">
        <v>5</v>
      </c>
      <c r="B17" t="s">
        <v>180</v>
      </c>
      <c r="C17">
        <v>1591</v>
      </c>
      <c r="D17">
        <v>349.59899999999999</v>
      </c>
      <c r="E17">
        <v>556212</v>
      </c>
      <c r="F17">
        <v>322</v>
      </c>
      <c r="G17">
        <v>556212</v>
      </c>
      <c r="H17">
        <v>197.85400000000001</v>
      </c>
      <c r="I17" t="s">
        <v>40</v>
      </c>
      <c r="J17" t="s">
        <v>27</v>
      </c>
      <c r="K17" t="s">
        <v>161</v>
      </c>
      <c r="L17">
        <f t="shared" si="0"/>
        <v>39.970505050505054</v>
      </c>
      <c r="M17" t="s">
        <v>15</v>
      </c>
      <c r="N17">
        <f t="shared" si="5"/>
        <v>100270.74122680305</v>
      </c>
      <c r="O17">
        <f t="shared" si="6"/>
        <v>2508.6183199362918</v>
      </c>
    </row>
    <row r="18" spans="1:15" x14ac:dyDescent="0.25">
      <c r="A18">
        <v>6</v>
      </c>
      <c r="B18" t="s">
        <v>181</v>
      </c>
      <c r="C18">
        <v>2058</v>
      </c>
      <c r="D18">
        <v>356.08</v>
      </c>
      <c r="E18">
        <v>732813</v>
      </c>
      <c r="F18">
        <v>322</v>
      </c>
      <c r="G18">
        <v>732813</v>
      </c>
      <c r="H18">
        <v>256.53399999999999</v>
      </c>
      <c r="I18" t="s">
        <v>41</v>
      </c>
      <c r="J18" t="s">
        <v>27</v>
      </c>
      <c r="K18" t="s">
        <v>161</v>
      </c>
      <c r="L18">
        <f t="shared" si="0"/>
        <v>51.825050505050498</v>
      </c>
      <c r="M18" t="s">
        <v>15</v>
      </c>
      <c r="N18">
        <f t="shared" si="5"/>
        <v>143041.08890305506</v>
      </c>
      <c r="O18">
        <f t="shared" si="6"/>
        <v>2760.0762084952585</v>
      </c>
    </row>
    <row r="19" spans="1:15" x14ac:dyDescent="0.25">
      <c r="A19">
        <v>7</v>
      </c>
      <c r="B19" t="s">
        <v>182</v>
      </c>
      <c r="C19">
        <v>1881</v>
      </c>
      <c r="D19">
        <v>337.214</v>
      </c>
      <c r="E19">
        <v>634299</v>
      </c>
      <c r="F19">
        <v>314</v>
      </c>
      <c r="G19">
        <v>634299</v>
      </c>
      <c r="H19">
        <v>234.42</v>
      </c>
      <c r="I19" t="s">
        <v>42</v>
      </c>
      <c r="J19" t="s">
        <v>27</v>
      </c>
      <c r="K19" t="s">
        <v>161</v>
      </c>
      <c r="L19">
        <f t="shared" si="0"/>
        <v>47.357575757575752</v>
      </c>
      <c r="M19" t="s">
        <v>15</v>
      </c>
      <c r="N19">
        <f t="shared" si="5"/>
        <v>95250.912160664098</v>
      </c>
      <c r="O19">
        <f t="shared" si="6"/>
        <v>2011.3130927194238</v>
      </c>
    </row>
    <row r="20" spans="1:15" x14ac:dyDescent="0.25">
      <c r="A20">
        <v>8</v>
      </c>
      <c r="B20" t="s">
        <v>183</v>
      </c>
      <c r="C20">
        <v>1754</v>
      </c>
      <c r="D20">
        <v>322.52499999999998</v>
      </c>
      <c r="E20">
        <v>565709</v>
      </c>
      <c r="F20">
        <v>303</v>
      </c>
      <c r="G20">
        <v>565709</v>
      </c>
      <c r="H20">
        <v>218.18899999999999</v>
      </c>
      <c r="I20" t="s">
        <v>43</v>
      </c>
      <c r="J20" t="s">
        <v>27</v>
      </c>
      <c r="K20" t="s">
        <v>161</v>
      </c>
      <c r="L20">
        <f t="shared" si="0"/>
        <v>44.078585858585853</v>
      </c>
      <c r="M20" t="s">
        <v>15</v>
      </c>
      <c r="N20">
        <f t="shared" si="5"/>
        <v>63055.971786180045</v>
      </c>
      <c r="O20">
        <f t="shared" si="6"/>
        <v>1430.5352714462749</v>
      </c>
    </row>
    <row r="21" spans="1:15" x14ac:dyDescent="0.25">
      <c r="A21">
        <v>9</v>
      </c>
      <c r="B21" t="s">
        <v>184</v>
      </c>
      <c r="C21">
        <v>1669</v>
      </c>
      <c r="D21">
        <v>286.78399999999999</v>
      </c>
      <c r="E21">
        <v>478643</v>
      </c>
      <c r="F21">
        <v>287</v>
      </c>
      <c r="G21">
        <v>478643</v>
      </c>
      <c r="H21">
        <v>207.78299999999999</v>
      </c>
      <c r="I21" t="s">
        <v>124</v>
      </c>
      <c r="K21" t="s">
        <v>161</v>
      </c>
      <c r="L21">
        <f>H21/4.95</f>
        <v>41.976363636363629</v>
      </c>
      <c r="M21" t="s">
        <v>15</v>
      </c>
      <c r="O21">
        <f t="shared" si="4"/>
        <v>0</v>
      </c>
    </row>
    <row r="22" spans="1:15" x14ac:dyDescent="0.25">
      <c r="A22">
        <v>10</v>
      </c>
      <c r="B22" t="s">
        <v>185</v>
      </c>
      <c r="C22">
        <v>1154</v>
      </c>
      <c r="D22">
        <v>286.51100000000002</v>
      </c>
      <c r="E22">
        <v>330634</v>
      </c>
      <c r="F22">
        <v>286</v>
      </c>
      <c r="G22">
        <v>330634</v>
      </c>
      <c r="H22">
        <v>143.68899999999999</v>
      </c>
      <c r="I22" t="s">
        <v>124</v>
      </c>
      <c r="K22" t="s">
        <v>161</v>
      </c>
      <c r="L22">
        <f t="shared" si="0"/>
        <v>29.028080808080805</v>
      </c>
      <c r="M22" t="s">
        <v>15</v>
      </c>
      <c r="O22">
        <f t="shared" si="4"/>
        <v>0</v>
      </c>
    </row>
    <row r="23" spans="1:15" x14ac:dyDescent="0.25">
      <c r="A23">
        <v>11</v>
      </c>
      <c r="B23" t="s">
        <v>186</v>
      </c>
      <c r="C23">
        <v>1276</v>
      </c>
      <c r="D23">
        <v>286.43</v>
      </c>
      <c r="E23">
        <v>365485</v>
      </c>
      <c r="F23">
        <v>286</v>
      </c>
      <c r="G23">
        <v>365485</v>
      </c>
      <c r="H23">
        <v>158.38499999999999</v>
      </c>
      <c r="I23" t="s">
        <v>124</v>
      </c>
      <c r="K23" t="s">
        <v>161</v>
      </c>
      <c r="L23">
        <f t="shared" si="0"/>
        <v>31.996969696969693</v>
      </c>
      <c r="M23" t="s">
        <v>15</v>
      </c>
      <c r="O23">
        <f t="shared" si="4"/>
        <v>0</v>
      </c>
    </row>
    <row r="24" spans="1:15" x14ac:dyDescent="0.25">
      <c r="A24">
        <v>1</v>
      </c>
      <c r="B24" t="s">
        <v>187</v>
      </c>
      <c r="C24">
        <v>1898</v>
      </c>
      <c r="D24">
        <v>336.00799999999998</v>
      </c>
      <c r="E24">
        <v>637743</v>
      </c>
      <c r="F24">
        <v>308</v>
      </c>
      <c r="G24">
        <v>637743</v>
      </c>
      <c r="H24">
        <v>237.12700000000001</v>
      </c>
      <c r="I24" t="s">
        <v>44</v>
      </c>
      <c r="J24" t="s">
        <v>27</v>
      </c>
      <c r="K24" t="s">
        <v>161</v>
      </c>
      <c r="L24">
        <f t="shared" si="0"/>
        <v>47.904444444444444</v>
      </c>
      <c r="M24" t="s">
        <v>16</v>
      </c>
      <c r="N24">
        <f>G24-(((G$32/C$32*C24)+(G$33/C$33*C24)+(G$34/C$34*C24))/3)</f>
        <v>92554.69204751181</v>
      </c>
      <c r="O24">
        <f>N24/L24</f>
        <v>1932.0689994609786</v>
      </c>
    </row>
    <row r="25" spans="1:15" x14ac:dyDescent="0.25">
      <c r="A25">
        <v>2</v>
      </c>
      <c r="B25" t="s">
        <v>188</v>
      </c>
      <c r="C25">
        <v>1653</v>
      </c>
      <c r="D25">
        <v>347.86099999999999</v>
      </c>
      <c r="E25">
        <v>575015</v>
      </c>
      <c r="F25">
        <v>315</v>
      </c>
      <c r="G25">
        <v>575015</v>
      </c>
      <c r="H25">
        <v>205.92699999999999</v>
      </c>
      <c r="I25" t="s">
        <v>52</v>
      </c>
      <c r="J25" t="s">
        <v>27</v>
      </c>
      <c r="K25" t="s">
        <v>161</v>
      </c>
      <c r="L25">
        <f t="shared" si="0"/>
        <v>41.601414141414139</v>
      </c>
      <c r="M25" t="s">
        <v>16</v>
      </c>
      <c r="N25">
        <f>G25-(((G$32/C$32*C25)+(G$33/C$33*C25)+(G$34/C$34*C25))/3)</f>
        <v>100201.36825844948</v>
      </c>
      <c r="O25">
        <f>N25/L25</f>
        <v>2408.6048593886426</v>
      </c>
    </row>
    <row r="26" spans="1:15" x14ac:dyDescent="0.25">
      <c r="A26">
        <v>3</v>
      </c>
      <c r="B26" t="s">
        <v>189</v>
      </c>
      <c r="C26">
        <v>1766</v>
      </c>
      <c r="D26">
        <v>340.35899999999998</v>
      </c>
      <c r="E26">
        <v>601074</v>
      </c>
      <c r="F26">
        <v>309</v>
      </c>
      <c r="G26">
        <v>601074</v>
      </c>
      <c r="H26">
        <v>219.381</v>
      </c>
      <c r="I26" t="s">
        <v>53</v>
      </c>
      <c r="J26" t="s">
        <v>27</v>
      </c>
      <c r="K26" t="s">
        <v>161</v>
      </c>
      <c r="L26">
        <f>H26/4.95</f>
        <v>44.31939393939394</v>
      </c>
      <c r="M26" t="s">
        <v>16</v>
      </c>
      <c r="N26">
        <f>G26-(((G$32/C$32*C26)+(G$33/C$33*C26)+(G$34/C$34*C26))/3)</f>
        <v>93801.844128506898</v>
      </c>
      <c r="O26">
        <f>N26/L26</f>
        <v>2116.4965445326129</v>
      </c>
    </row>
    <row r="27" spans="1:15" x14ac:dyDescent="0.25">
      <c r="A27">
        <v>4</v>
      </c>
      <c r="B27" t="s">
        <v>190</v>
      </c>
      <c r="C27">
        <v>1739</v>
      </c>
      <c r="D27">
        <v>340.43400000000003</v>
      </c>
      <c r="E27">
        <v>592014</v>
      </c>
      <c r="F27">
        <v>314</v>
      </c>
      <c r="G27">
        <v>592014</v>
      </c>
      <c r="H27">
        <v>216.46700000000001</v>
      </c>
      <c r="I27" t="s">
        <v>54</v>
      </c>
      <c r="J27" t="s">
        <v>27</v>
      </c>
      <c r="K27" t="s">
        <v>161</v>
      </c>
      <c r="L27">
        <f>H27/4.95</f>
        <v>43.730707070707069</v>
      </c>
      <c r="M27" t="s">
        <v>16</v>
      </c>
      <c r="N27">
        <f t="shared" ref="N27:N31" si="7">G27-(((G$32/C$32*C27)+(G$33/C$33*C27)+(G$34/C$34*C27))/3)</f>
        <v>92497.420690528525</v>
      </c>
      <c r="O27">
        <f>N27/L27</f>
        <v>2115.1595043037332</v>
      </c>
    </row>
    <row r="28" spans="1:15" x14ac:dyDescent="0.25">
      <c r="A28">
        <v>5</v>
      </c>
      <c r="B28" t="s">
        <v>191</v>
      </c>
      <c r="C28">
        <v>1465</v>
      </c>
      <c r="D28">
        <v>308.24599999999998</v>
      </c>
      <c r="E28">
        <v>451580</v>
      </c>
      <c r="F28">
        <v>295</v>
      </c>
      <c r="G28">
        <v>451580</v>
      </c>
      <c r="H28">
        <v>183.74100000000001</v>
      </c>
      <c r="I28" t="s">
        <v>55</v>
      </c>
      <c r="J28" t="s">
        <v>27</v>
      </c>
      <c r="K28" t="s">
        <v>161</v>
      </c>
      <c r="L28">
        <f t="shared" si="0"/>
        <v>37.119393939393937</v>
      </c>
      <c r="M28" t="s">
        <v>16</v>
      </c>
      <c r="N28">
        <f t="shared" si="7"/>
        <v>30768.160616230161</v>
      </c>
      <c r="O28">
        <f>N28/L28</f>
        <v>828.89717074762473</v>
      </c>
    </row>
    <row r="29" spans="1:15" x14ac:dyDescent="0.25">
      <c r="A29">
        <v>6</v>
      </c>
      <c r="B29" t="s">
        <v>192</v>
      </c>
      <c r="C29">
        <v>1963</v>
      </c>
      <c r="D29">
        <v>334.30700000000002</v>
      </c>
      <c r="E29">
        <v>656244</v>
      </c>
      <c r="F29">
        <v>304</v>
      </c>
      <c r="G29">
        <v>656244</v>
      </c>
      <c r="H29">
        <v>244.56200000000001</v>
      </c>
      <c r="I29" t="s">
        <v>56</v>
      </c>
      <c r="J29" t="s">
        <v>27</v>
      </c>
      <c r="K29" t="s">
        <v>161</v>
      </c>
      <c r="L29">
        <f t="shared" si="0"/>
        <v>49.406464646464649</v>
      </c>
      <c r="M29" t="s">
        <v>16</v>
      </c>
      <c r="N29">
        <f t="shared" si="7"/>
        <v>92384.859583385638</v>
      </c>
      <c r="O29">
        <f t="shared" si="4"/>
        <v>1869.8941574641967</v>
      </c>
    </row>
    <row r="30" spans="1:15" x14ac:dyDescent="0.25">
      <c r="A30">
        <v>7</v>
      </c>
      <c r="B30" t="s">
        <v>193</v>
      </c>
      <c r="C30">
        <v>1286</v>
      </c>
      <c r="D30">
        <v>312.06799999999998</v>
      </c>
      <c r="E30">
        <v>401320</v>
      </c>
      <c r="F30">
        <v>296</v>
      </c>
      <c r="G30">
        <v>401320</v>
      </c>
      <c r="H30">
        <v>159.91800000000001</v>
      </c>
      <c r="I30" t="s">
        <v>57</v>
      </c>
      <c r="J30" t="s">
        <v>27</v>
      </c>
      <c r="K30" t="s">
        <v>161</v>
      </c>
      <c r="L30">
        <f t="shared" si="0"/>
        <v>32.306666666666665</v>
      </c>
      <c r="M30" t="s">
        <v>16</v>
      </c>
      <c r="N30">
        <f t="shared" si="7"/>
        <v>31924.76078667026</v>
      </c>
      <c r="O30">
        <f t="shared" si="4"/>
        <v>988.17872843593466</v>
      </c>
    </row>
    <row r="31" spans="1:15" x14ac:dyDescent="0.25">
      <c r="A31">
        <v>8</v>
      </c>
      <c r="B31" t="s">
        <v>194</v>
      </c>
      <c r="C31">
        <v>1719</v>
      </c>
      <c r="D31">
        <v>333.52499999999998</v>
      </c>
      <c r="E31">
        <v>573329</v>
      </c>
      <c r="F31">
        <v>309</v>
      </c>
      <c r="G31">
        <v>573329</v>
      </c>
      <c r="H31">
        <v>213.709</v>
      </c>
      <c r="I31" t="s">
        <v>58</v>
      </c>
      <c r="J31" t="s">
        <v>27</v>
      </c>
      <c r="K31" t="s">
        <v>161</v>
      </c>
      <c r="L31">
        <f t="shared" si="0"/>
        <v>43.17353535353535</v>
      </c>
      <c r="M31" t="s">
        <v>16</v>
      </c>
      <c r="N31">
        <f t="shared" si="7"/>
        <v>79557.292217952025</v>
      </c>
      <c r="O31">
        <f t="shared" si="4"/>
        <v>1842.7328586014746</v>
      </c>
    </row>
    <row r="32" spans="1:15" x14ac:dyDescent="0.25">
      <c r="A32">
        <v>9</v>
      </c>
      <c r="B32" t="s">
        <v>195</v>
      </c>
      <c r="C32">
        <v>1339</v>
      </c>
      <c r="D32">
        <v>287.37799999999999</v>
      </c>
      <c r="E32">
        <v>384799</v>
      </c>
      <c r="F32">
        <v>287</v>
      </c>
      <c r="G32">
        <v>384799</v>
      </c>
      <c r="H32">
        <v>166.35400000000001</v>
      </c>
      <c r="I32" t="s">
        <v>124</v>
      </c>
      <c r="K32" t="s">
        <v>161</v>
      </c>
      <c r="L32">
        <f t="shared" si="0"/>
        <v>33.606868686868687</v>
      </c>
      <c r="M32" t="s">
        <v>16</v>
      </c>
      <c r="O32">
        <f t="shared" si="4"/>
        <v>0</v>
      </c>
    </row>
    <row r="33" spans="1:15" x14ac:dyDescent="0.25">
      <c r="A33">
        <v>10</v>
      </c>
      <c r="B33" t="s">
        <v>196</v>
      </c>
      <c r="C33">
        <v>1645</v>
      </c>
      <c r="D33">
        <v>287.25</v>
      </c>
      <c r="E33">
        <v>472527</v>
      </c>
      <c r="F33">
        <v>287</v>
      </c>
      <c r="G33">
        <v>472527</v>
      </c>
      <c r="H33">
        <v>204.84200000000001</v>
      </c>
      <c r="I33" t="s">
        <v>124</v>
      </c>
      <c r="K33" t="s">
        <v>161</v>
      </c>
      <c r="L33">
        <f t="shared" si="0"/>
        <v>41.382222222222225</v>
      </c>
      <c r="M33" t="s">
        <v>16</v>
      </c>
      <c r="O33">
        <f t="shared" si="4"/>
        <v>0</v>
      </c>
    </row>
    <row r="34" spans="1:15" x14ac:dyDescent="0.25">
      <c r="A34">
        <v>11</v>
      </c>
      <c r="B34" t="s">
        <v>197</v>
      </c>
      <c r="C34">
        <v>1387</v>
      </c>
      <c r="D34">
        <v>287.10199999999998</v>
      </c>
      <c r="E34">
        <v>398211</v>
      </c>
      <c r="F34">
        <v>287</v>
      </c>
      <c r="G34">
        <v>398211</v>
      </c>
      <c r="H34">
        <v>172.44399999999999</v>
      </c>
      <c r="I34" t="s">
        <v>124</v>
      </c>
      <c r="K34" t="s">
        <v>161</v>
      </c>
      <c r="L34">
        <f>H34/4.95</f>
        <v>34.837171717171714</v>
      </c>
      <c r="M34" t="s">
        <v>16</v>
      </c>
      <c r="O34">
        <f t="shared" si="4"/>
        <v>0</v>
      </c>
    </row>
    <row r="35" spans="1:15" x14ac:dyDescent="0.25">
      <c r="A35">
        <v>1</v>
      </c>
      <c r="B35" t="s">
        <v>198</v>
      </c>
      <c r="C35">
        <v>1862</v>
      </c>
      <c r="D35">
        <v>327.286</v>
      </c>
      <c r="E35">
        <v>609407</v>
      </c>
      <c r="F35">
        <v>302</v>
      </c>
      <c r="G35">
        <v>609407</v>
      </c>
      <c r="H35">
        <v>232.381</v>
      </c>
      <c r="I35" t="s">
        <v>59</v>
      </c>
      <c r="J35" t="s">
        <v>27</v>
      </c>
      <c r="K35" t="s">
        <v>161</v>
      </c>
      <c r="L35">
        <f t="shared" si="0"/>
        <v>46.945656565656563</v>
      </c>
      <c r="M35" t="s">
        <v>17</v>
      </c>
      <c r="N35">
        <f>G35-(((G$43/C$43*C35)+(G$44/C$44*C35)+(G$45/C$45*C35))/3)</f>
        <v>74056.509220008738</v>
      </c>
      <c r="O35">
        <f t="shared" ref="O35:O42" si="8">N35/L35</f>
        <v>1577.4943762142484</v>
      </c>
    </row>
    <row r="36" spans="1:15" x14ac:dyDescent="0.25">
      <c r="A36">
        <v>2</v>
      </c>
      <c r="B36" t="s">
        <v>199</v>
      </c>
      <c r="C36">
        <v>1887</v>
      </c>
      <c r="D36">
        <v>356.10899999999998</v>
      </c>
      <c r="E36">
        <v>671977</v>
      </c>
      <c r="F36">
        <v>323</v>
      </c>
      <c r="G36">
        <v>671977</v>
      </c>
      <c r="H36">
        <v>234.80699999999999</v>
      </c>
      <c r="I36" t="s">
        <v>60</v>
      </c>
      <c r="J36" t="s">
        <v>27</v>
      </c>
      <c r="K36" t="s">
        <v>161</v>
      </c>
      <c r="L36">
        <f t="shared" si="0"/>
        <v>47.43575757575757</v>
      </c>
      <c r="M36" t="s">
        <v>17</v>
      </c>
      <c r="N36">
        <f t="shared" ref="N36:N42" si="9">G36-(((G$43/C$43*C36)+(G$44/C$44*C36)+(G$45/C$45*C36))/3)</f>
        <v>129438.66697000898</v>
      </c>
      <c r="O36">
        <f t="shared" si="8"/>
        <v>2728.7150787733949</v>
      </c>
    </row>
    <row r="37" spans="1:15" x14ac:dyDescent="0.25">
      <c r="A37">
        <v>3</v>
      </c>
      <c r="B37" t="s">
        <v>200</v>
      </c>
      <c r="C37">
        <v>1576</v>
      </c>
      <c r="D37">
        <v>322.476</v>
      </c>
      <c r="E37">
        <v>508222</v>
      </c>
      <c r="F37">
        <v>305</v>
      </c>
      <c r="G37">
        <v>508222</v>
      </c>
      <c r="H37">
        <v>195.87799999999999</v>
      </c>
      <c r="I37" t="s">
        <v>45</v>
      </c>
      <c r="J37" t="s">
        <v>27</v>
      </c>
      <c r="K37" t="s">
        <v>161</v>
      </c>
      <c r="L37">
        <f t="shared" si="0"/>
        <v>39.571313131313126</v>
      </c>
      <c r="M37" t="s">
        <v>17</v>
      </c>
      <c r="N37">
        <f t="shared" si="9"/>
        <v>55100.424560007406</v>
      </c>
      <c r="O37">
        <f t="shared" si="8"/>
        <v>1392.4335636061053</v>
      </c>
    </row>
    <row r="38" spans="1:15" x14ac:dyDescent="0.25">
      <c r="A38">
        <v>4</v>
      </c>
      <c r="B38" t="s">
        <v>201</v>
      </c>
      <c r="C38">
        <v>1935</v>
      </c>
      <c r="D38">
        <v>359.64499999999998</v>
      </c>
      <c r="E38">
        <v>695914</v>
      </c>
      <c r="F38">
        <v>324</v>
      </c>
      <c r="G38">
        <v>695914</v>
      </c>
      <c r="H38">
        <v>241.37200000000001</v>
      </c>
      <c r="I38" t="s">
        <v>61</v>
      </c>
      <c r="J38" t="s">
        <v>27</v>
      </c>
      <c r="K38" t="s">
        <v>161</v>
      </c>
      <c r="L38">
        <f t="shared" si="0"/>
        <v>48.762020202020203</v>
      </c>
      <c r="M38" t="s">
        <v>17</v>
      </c>
      <c r="N38">
        <f t="shared" si="9"/>
        <v>139575.00985000923</v>
      </c>
      <c r="O38">
        <f t="shared" si="8"/>
        <v>2862.3713552423051</v>
      </c>
    </row>
    <row r="39" spans="1:15" x14ac:dyDescent="0.25">
      <c r="A39">
        <v>5</v>
      </c>
      <c r="B39" t="s">
        <v>202</v>
      </c>
      <c r="C39">
        <v>1935</v>
      </c>
      <c r="D39">
        <v>353.89299999999997</v>
      </c>
      <c r="E39">
        <v>684783</v>
      </c>
      <c r="F39">
        <v>313</v>
      </c>
      <c r="G39">
        <v>684783</v>
      </c>
      <c r="H39">
        <v>241.15299999999999</v>
      </c>
      <c r="I39" t="s">
        <v>62</v>
      </c>
      <c r="J39" t="s">
        <v>27</v>
      </c>
      <c r="K39" t="s">
        <v>161</v>
      </c>
      <c r="L39">
        <f t="shared" si="0"/>
        <v>48.717777777777776</v>
      </c>
      <c r="M39" t="s">
        <v>17</v>
      </c>
      <c r="N39">
        <f t="shared" si="9"/>
        <v>128444.00985000923</v>
      </c>
      <c r="O39">
        <f t="shared" si="8"/>
        <v>2636.4915582951307</v>
      </c>
    </row>
    <row r="40" spans="1:15" x14ac:dyDescent="0.25">
      <c r="A40">
        <v>6</v>
      </c>
      <c r="B40" t="s">
        <v>203</v>
      </c>
      <c r="C40">
        <v>1643</v>
      </c>
      <c r="D40">
        <v>342.76400000000001</v>
      </c>
      <c r="E40">
        <v>563162</v>
      </c>
      <c r="F40">
        <v>310</v>
      </c>
      <c r="G40">
        <v>563162</v>
      </c>
      <c r="H40">
        <v>204.21799999999999</v>
      </c>
      <c r="I40" t="s">
        <v>63</v>
      </c>
      <c r="J40" t="s">
        <v>27</v>
      </c>
      <c r="K40" t="s">
        <v>161</v>
      </c>
      <c r="L40">
        <f t="shared" si="0"/>
        <v>41.256161616161613</v>
      </c>
      <c r="M40" t="s">
        <v>17</v>
      </c>
      <c r="N40">
        <f t="shared" si="9"/>
        <v>90777.007330007793</v>
      </c>
      <c r="O40">
        <f t="shared" si="8"/>
        <v>2200.326054919442</v>
      </c>
    </row>
    <row r="41" spans="1:15" x14ac:dyDescent="0.25">
      <c r="A41">
        <v>7</v>
      </c>
      <c r="B41" t="s">
        <v>204</v>
      </c>
      <c r="C41">
        <v>1936</v>
      </c>
      <c r="D41">
        <v>307.95400000000001</v>
      </c>
      <c r="E41">
        <v>596198</v>
      </c>
      <c r="F41">
        <v>294</v>
      </c>
      <c r="G41">
        <v>596198</v>
      </c>
      <c r="H41">
        <v>241.51599999999999</v>
      </c>
      <c r="I41" t="s">
        <v>64</v>
      </c>
      <c r="J41" t="s">
        <v>27</v>
      </c>
      <c r="K41" t="s">
        <v>161</v>
      </c>
      <c r="L41">
        <f t="shared" si="0"/>
        <v>48.791111111111107</v>
      </c>
      <c r="M41" t="s">
        <v>17</v>
      </c>
      <c r="N41">
        <f t="shared" si="9"/>
        <v>39571.496160009061</v>
      </c>
      <c r="O41">
        <f t="shared" si="8"/>
        <v>811.03904499927489</v>
      </c>
    </row>
    <row r="42" spans="1:15" x14ac:dyDescent="0.25">
      <c r="A42">
        <v>8</v>
      </c>
      <c r="B42" t="s">
        <v>205</v>
      </c>
      <c r="C42">
        <v>2014</v>
      </c>
      <c r="D42">
        <v>334.45499999999998</v>
      </c>
      <c r="E42">
        <v>673593</v>
      </c>
      <c r="F42">
        <v>307</v>
      </c>
      <c r="G42">
        <v>673593</v>
      </c>
      <c r="H42">
        <v>251.83799999999999</v>
      </c>
      <c r="I42" t="s">
        <v>65</v>
      </c>
      <c r="J42" t="s">
        <v>27</v>
      </c>
      <c r="K42" t="s">
        <v>161</v>
      </c>
      <c r="L42">
        <f t="shared" si="0"/>
        <v>50.876363636363635</v>
      </c>
      <c r="M42" t="s">
        <v>17</v>
      </c>
      <c r="N42">
        <f t="shared" si="9"/>
        <v>94540.42834000953</v>
      </c>
      <c r="O42">
        <f t="shared" si="8"/>
        <v>1858.2387101352742</v>
      </c>
    </row>
    <row r="43" spans="1:15" x14ac:dyDescent="0.25">
      <c r="A43">
        <v>9</v>
      </c>
      <c r="B43" t="s">
        <v>206</v>
      </c>
      <c r="C43">
        <v>1626</v>
      </c>
      <c r="D43">
        <v>287.62200000000001</v>
      </c>
      <c r="E43">
        <v>467673</v>
      </c>
      <c r="F43">
        <v>288</v>
      </c>
      <c r="G43">
        <v>467673</v>
      </c>
      <c r="H43">
        <v>202.142</v>
      </c>
      <c r="I43" t="s">
        <v>124</v>
      </c>
      <c r="K43" t="s">
        <v>161</v>
      </c>
      <c r="L43">
        <f t="shared" si="0"/>
        <v>40.836767676767671</v>
      </c>
      <c r="M43" t="s">
        <v>17</v>
      </c>
      <c r="O43">
        <f t="shared" si="4"/>
        <v>0</v>
      </c>
    </row>
    <row r="44" spans="1:15" x14ac:dyDescent="0.25">
      <c r="A44">
        <v>10</v>
      </c>
      <c r="B44" t="s">
        <v>207</v>
      </c>
      <c r="C44">
        <v>1378</v>
      </c>
      <c r="D44">
        <v>287.37400000000002</v>
      </c>
      <c r="E44">
        <v>396002</v>
      </c>
      <c r="F44">
        <v>287</v>
      </c>
      <c r="G44">
        <v>396002</v>
      </c>
      <c r="H44">
        <v>170.48099999999999</v>
      </c>
      <c r="I44" t="s">
        <v>124</v>
      </c>
      <c r="K44" t="s">
        <v>161</v>
      </c>
      <c r="L44">
        <f t="shared" si="0"/>
        <v>34.440606060606058</v>
      </c>
      <c r="M44" t="s">
        <v>17</v>
      </c>
      <c r="O44">
        <f t="shared" si="4"/>
        <v>0</v>
      </c>
    </row>
    <row r="45" spans="1:15" x14ac:dyDescent="0.25">
      <c r="A45">
        <v>11</v>
      </c>
      <c r="B45" t="s">
        <v>208</v>
      </c>
      <c r="C45">
        <v>1338</v>
      </c>
      <c r="D45">
        <v>287.54500000000002</v>
      </c>
      <c r="E45">
        <v>384735</v>
      </c>
      <c r="F45">
        <v>288</v>
      </c>
      <c r="G45">
        <v>384735</v>
      </c>
      <c r="H45">
        <v>165.82</v>
      </c>
      <c r="I45" t="s">
        <v>124</v>
      </c>
      <c r="K45" t="s">
        <v>161</v>
      </c>
      <c r="L45">
        <f t="shared" si="0"/>
        <v>33.498989898989898</v>
      </c>
      <c r="M45" t="s">
        <v>17</v>
      </c>
      <c r="O45">
        <f t="shared" si="4"/>
        <v>0</v>
      </c>
    </row>
    <row r="46" spans="1:15" x14ac:dyDescent="0.25">
      <c r="A46">
        <v>1</v>
      </c>
      <c r="B46" t="s">
        <v>209</v>
      </c>
      <c r="C46">
        <v>1544</v>
      </c>
      <c r="D46">
        <v>349.57600000000002</v>
      </c>
      <c r="E46">
        <v>539745</v>
      </c>
      <c r="F46">
        <v>316</v>
      </c>
      <c r="G46">
        <v>539745</v>
      </c>
      <c r="H46">
        <v>192.69900000000001</v>
      </c>
      <c r="I46" t="s">
        <v>66</v>
      </c>
      <c r="J46" t="s">
        <v>27</v>
      </c>
      <c r="K46" t="s">
        <v>162</v>
      </c>
      <c r="L46">
        <f t="shared" si="0"/>
        <v>38.92909090909091</v>
      </c>
      <c r="M46" t="s">
        <v>19</v>
      </c>
      <c r="N46">
        <f>G46-(((G$54/C$54*C46)+(G$55/C$55*C46)+(G$56/C$56*C46))/3)</f>
        <v>95678.101975136728</v>
      </c>
      <c r="O46">
        <f>N46/L46</f>
        <v>2457.7533084080706</v>
      </c>
    </row>
    <row r="47" spans="1:15" x14ac:dyDescent="0.25">
      <c r="A47">
        <v>2</v>
      </c>
      <c r="B47" t="s">
        <v>210</v>
      </c>
      <c r="C47">
        <v>1701</v>
      </c>
      <c r="D47">
        <v>354.697</v>
      </c>
      <c r="E47">
        <v>603340</v>
      </c>
      <c r="F47">
        <v>325</v>
      </c>
      <c r="G47">
        <v>603340</v>
      </c>
      <c r="H47">
        <v>212.24600000000001</v>
      </c>
      <c r="I47" t="s">
        <v>67</v>
      </c>
      <c r="J47" t="s">
        <v>27</v>
      </c>
      <c r="K47" t="s">
        <v>162</v>
      </c>
      <c r="L47">
        <f t="shared" si="0"/>
        <v>42.877979797979798</v>
      </c>
      <c r="M47" t="s">
        <v>19</v>
      </c>
      <c r="N47">
        <f t="shared" ref="N47:N53" si="10">G47-(((G$54/C$54*C47)+(G$55/C$55*C47)+(G$56/C$56*C47))/3)</f>
        <v>114118.63112675369</v>
      </c>
      <c r="O47">
        <f>N47/L47</f>
        <v>2661.4740634802579</v>
      </c>
    </row>
    <row r="48" spans="1:15" x14ac:dyDescent="0.25">
      <c r="A48">
        <v>3</v>
      </c>
      <c r="B48" t="s">
        <v>211</v>
      </c>
      <c r="C48">
        <v>1642</v>
      </c>
      <c r="D48">
        <v>348.24400000000003</v>
      </c>
      <c r="E48">
        <v>571816</v>
      </c>
      <c r="F48">
        <v>323</v>
      </c>
      <c r="G48">
        <v>571816</v>
      </c>
      <c r="H48">
        <v>204.88800000000001</v>
      </c>
      <c r="I48" t="s">
        <v>68</v>
      </c>
      <c r="J48" t="s">
        <v>27</v>
      </c>
      <c r="K48" t="s">
        <v>162</v>
      </c>
      <c r="L48">
        <f t="shared" si="0"/>
        <v>41.391515151515151</v>
      </c>
      <c r="M48" t="s">
        <v>19</v>
      </c>
      <c r="N48">
        <f t="shared" si="10"/>
        <v>99563.508706719324</v>
      </c>
      <c r="O48">
        <f>N48/L48</f>
        <v>2405.4086530116974</v>
      </c>
    </row>
    <row r="49" spans="1:15" x14ac:dyDescent="0.25">
      <c r="A49">
        <v>4</v>
      </c>
      <c r="B49" t="s">
        <v>212</v>
      </c>
      <c r="C49">
        <v>1778</v>
      </c>
      <c r="D49">
        <v>378.726</v>
      </c>
      <c r="E49">
        <v>673374</v>
      </c>
      <c r="F49">
        <v>354</v>
      </c>
      <c r="G49">
        <v>673374</v>
      </c>
      <c r="H49">
        <v>221.358</v>
      </c>
      <c r="I49" t="s">
        <v>69</v>
      </c>
      <c r="J49" t="s">
        <v>27</v>
      </c>
      <c r="K49" t="s">
        <v>162</v>
      </c>
      <c r="L49">
        <f t="shared" si="0"/>
        <v>44.718787878787879</v>
      </c>
      <c r="M49" t="s">
        <v>19</v>
      </c>
      <c r="N49">
        <f t="shared" si="10"/>
        <v>162006.80784442561</v>
      </c>
      <c r="O49">
        <f t="shared" si="4"/>
        <v>3622.7906776800783</v>
      </c>
    </row>
    <row r="50" spans="1:15" x14ac:dyDescent="0.25">
      <c r="A50">
        <v>5</v>
      </c>
      <c r="B50" t="s">
        <v>213</v>
      </c>
      <c r="C50">
        <v>1723</v>
      </c>
      <c r="D50">
        <v>367.29</v>
      </c>
      <c r="E50">
        <v>632841</v>
      </c>
      <c r="F50">
        <v>337</v>
      </c>
      <c r="G50">
        <v>632841</v>
      </c>
      <c r="H50">
        <v>215.16</v>
      </c>
      <c r="I50" t="s">
        <v>46</v>
      </c>
      <c r="J50" t="s">
        <v>27</v>
      </c>
      <c r="K50" t="s">
        <v>162</v>
      </c>
      <c r="L50">
        <f t="shared" si="0"/>
        <v>43.466666666666661</v>
      </c>
      <c r="M50" t="s">
        <v>19</v>
      </c>
      <c r="N50">
        <f t="shared" si="10"/>
        <v>137292.25304608856</v>
      </c>
      <c r="O50">
        <f t="shared" si="4"/>
        <v>3158.5641038210561</v>
      </c>
    </row>
    <row r="51" spans="1:15" x14ac:dyDescent="0.25">
      <c r="A51">
        <v>6</v>
      </c>
      <c r="B51" t="s">
        <v>214</v>
      </c>
      <c r="C51">
        <v>1360</v>
      </c>
      <c r="D51">
        <v>312.10399999999998</v>
      </c>
      <c r="E51">
        <v>424462</v>
      </c>
      <c r="F51">
        <v>302</v>
      </c>
      <c r="G51">
        <v>424462</v>
      </c>
      <c r="H51">
        <v>169.328</v>
      </c>
      <c r="I51" t="s">
        <v>70</v>
      </c>
      <c r="J51" t="s">
        <v>27</v>
      </c>
      <c r="K51" t="s">
        <v>162</v>
      </c>
      <c r="L51">
        <f t="shared" si="0"/>
        <v>34.207676767676766</v>
      </c>
      <c r="M51" t="s">
        <v>19</v>
      </c>
      <c r="N51">
        <f t="shared" si="10"/>
        <v>33314.991377063503</v>
      </c>
      <c r="O51">
        <f t="shared" si="4"/>
        <v>973.90394569394516</v>
      </c>
    </row>
    <row r="52" spans="1:15" x14ac:dyDescent="0.25">
      <c r="A52">
        <v>7</v>
      </c>
      <c r="B52" t="s">
        <v>215</v>
      </c>
      <c r="C52">
        <v>1480</v>
      </c>
      <c r="D52">
        <v>357.601</v>
      </c>
      <c r="E52">
        <v>529250</v>
      </c>
      <c r="F52">
        <v>332</v>
      </c>
      <c r="G52">
        <v>529250</v>
      </c>
      <c r="H52">
        <v>183.56</v>
      </c>
      <c r="I52" t="s">
        <v>71</v>
      </c>
      <c r="J52" t="s">
        <v>27</v>
      </c>
      <c r="K52" t="s">
        <v>162</v>
      </c>
      <c r="L52">
        <f t="shared" si="0"/>
        <v>37.082828282828281</v>
      </c>
      <c r="M52" t="s">
        <v>19</v>
      </c>
      <c r="N52">
        <f t="shared" si="10"/>
        <v>103590.02002798085</v>
      </c>
      <c r="O52">
        <f t="shared" si="4"/>
        <v>2793.4767876362239</v>
      </c>
    </row>
    <row r="53" spans="1:15" x14ac:dyDescent="0.25">
      <c r="A53">
        <v>8</v>
      </c>
      <c r="B53" t="s">
        <v>216</v>
      </c>
      <c r="C53">
        <v>1909</v>
      </c>
      <c r="D53">
        <v>384.18799999999999</v>
      </c>
      <c r="E53">
        <v>733415</v>
      </c>
      <c r="F53">
        <v>345</v>
      </c>
      <c r="G53">
        <v>733415</v>
      </c>
      <c r="H53">
        <v>238.131</v>
      </c>
      <c r="I53" t="s">
        <v>72</v>
      </c>
      <c r="J53" t="s">
        <v>27</v>
      </c>
      <c r="K53" t="s">
        <v>162</v>
      </c>
      <c r="L53">
        <f t="shared" si="0"/>
        <v>48.107272727272722</v>
      </c>
      <c r="M53" t="s">
        <v>19</v>
      </c>
      <c r="N53">
        <f t="shared" si="10"/>
        <v>184371.14745501045</v>
      </c>
      <c r="O53">
        <f t="shared" si="4"/>
        <v>3832.5005140124631</v>
      </c>
    </row>
    <row r="54" spans="1:15" x14ac:dyDescent="0.25">
      <c r="A54">
        <v>9</v>
      </c>
      <c r="B54" t="s">
        <v>217</v>
      </c>
      <c r="C54">
        <v>1649</v>
      </c>
      <c r="D54">
        <v>287.64299999999997</v>
      </c>
      <c r="E54">
        <v>474324</v>
      </c>
      <c r="F54">
        <v>288</v>
      </c>
      <c r="G54">
        <v>474324</v>
      </c>
      <c r="H54">
        <v>205.279</v>
      </c>
      <c r="I54" t="s">
        <v>124</v>
      </c>
      <c r="K54" t="s">
        <v>162</v>
      </c>
      <c r="L54">
        <f t="shared" si="0"/>
        <v>41.470505050505047</v>
      </c>
      <c r="M54" t="s">
        <v>19</v>
      </c>
      <c r="O54">
        <f t="shared" si="4"/>
        <v>0</v>
      </c>
    </row>
    <row r="55" spans="1:15" x14ac:dyDescent="0.25">
      <c r="A55">
        <v>10</v>
      </c>
      <c r="B55" t="s">
        <v>218</v>
      </c>
      <c r="C55">
        <v>1508</v>
      </c>
      <c r="D55">
        <v>287.65300000000002</v>
      </c>
      <c r="E55">
        <v>433781</v>
      </c>
      <c r="F55">
        <v>288</v>
      </c>
      <c r="G55">
        <v>433781</v>
      </c>
      <c r="H55">
        <v>187.70599999999999</v>
      </c>
      <c r="I55" t="s">
        <v>124</v>
      </c>
      <c r="K55" t="s">
        <v>162</v>
      </c>
      <c r="L55">
        <f t="shared" si="0"/>
        <v>37.920404040404037</v>
      </c>
      <c r="M55" t="s">
        <v>19</v>
      </c>
      <c r="O55">
        <f t="shared" si="4"/>
        <v>0</v>
      </c>
    </row>
    <row r="56" spans="1:15" x14ac:dyDescent="0.25">
      <c r="A56">
        <v>11</v>
      </c>
      <c r="B56" t="s">
        <v>219</v>
      </c>
      <c r="C56">
        <v>1427</v>
      </c>
      <c r="D56">
        <v>287.52800000000002</v>
      </c>
      <c r="E56">
        <v>410302</v>
      </c>
      <c r="F56">
        <v>287</v>
      </c>
      <c r="G56">
        <v>410302</v>
      </c>
      <c r="H56">
        <v>177.90700000000001</v>
      </c>
      <c r="I56" t="s">
        <v>124</v>
      </c>
      <c r="K56" t="s">
        <v>162</v>
      </c>
      <c r="L56">
        <f t="shared" si="0"/>
        <v>35.940808080808083</v>
      </c>
      <c r="M56" t="s">
        <v>19</v>
      </c>
      <c r="O56">
        <f t="shared" si="4"/>
        <v>0</v>
      </c>
    </row>
    <row r="57" spans="1:15" x14ac:dyDescent="0.25">
      <c r="A57">
        <v>1</v>
      </c>
      <c r="B57" t="s">
        <v>220</v>
      </c>
      <c r="C57">
        <v>1774</v>
      </c>
      <c r="D57">
        <v>373.10500000000002</v>
      </c>
      <c r="E57">
        <v>661888</v>
      </c>
      <c r="F57">
        <v>337</v>
      </c>
      <c r="G57">
        <v>661888</v>
      </c>
      <c r="H57">
        <v>221.75700000000001</v>
      </c>
      <c r="I57" t="s">
        <v>73</v>
      </c>
      <c r="J57" t="s">
        <v>27</v>
      </c>
      <c r="K57" t="s">
        <v>162</v>
      </c>
      <c r="L57">
        <f t="shared" si="0"/>
        <v>44.799393939393937</v>
      </c>
      <c r="M57" t="s">
        <v>20</v>
      </c>
      <c r="N57">
        <f>G57-(((G$65/C$65*C57)+(G$66/C$66*C57)+(G$67/C$67*C57))/3)</f>
        <v>152499.50153431646</v>
      </c>
      <c r="O57">
        <f>N57/L57</f>
        <v>3404.0527811742877</v>
      </c>
    </row>
    <row r="58" spans="1:15" x14ac:dyDescent="0.25">
      <c r="A58">
        <v>2</v>
      </c>
      <c r="B58" t="s">
        <v>221</v>
      </c>
      <c r="C58">
        <v>1592</v>
      </c>
      <c r="D58">
        <v>331.75400000000002</v>
      </c>
      <c r="E58">
        <v>528152</v>
      </c>
      <c r="F58">
        <v>312</v>
      </c>
      <c r="G58">
        <v>528152</v>
      </c>
      <c r="H58">
        <v>197.75899999999999</v>
      </c>
      <c r="I58" t="s">
        <v>74</v>
      </c>
      <c r="J58" t="s">
        <v>27</v>
      </c>
      <c r="K58" t="s">
        <v>162</v>
      </c>
      <c r="L58">
        <f t="shared" si="0"/>
        <v>39.951313131313128</v>
      </c>
      <c r="M58" t="s">
        <v>20</v>
      </c>
      <c r="N58">
        <f t="shared" ref="N58:N64" si="11">G58-(((G$65/C$65*C58)+(G$66/C$66*C58)+(G$67/C$67*C58))/3)</f>
        <v>71023.20092594804</v>
      </c>
      <c r="O58">
        <f t="shared" si="4"/>
        <v>1777.7438426743806</v>
      </c>
    </row>
    <row r="59" spans="1:15" x14ac:dyDescent="0.25">
      <c r="A59">
        <v>3</v>
      </c>
      <c r="B59" t="s">
        <v>222</v>
      </c>
      <c r="C59">
        <v>1979</v>
      </c>
      <c r="D59">
        <v>382.46800000000002</v>
      </c>
      <c r="E59">
        <v>756904</v>
      </c>
      <c r="F59">
        <v>355</v>
      </c>
      <c r="G59">
        <v>756904</v>
      </c>
      <c r="H59">
        <v>245.90600000000001</v>
      </c>
      <c r="I59" t="s">
        <v>75</v>
      </c>
      <c r="J59" t="s">
        <v>27</v>
      </c>
      <c r="K59" t="s">
        <v>162</v>
      </c>
      <c r="L59">
        <f t="shared" si="0"/>
        <v>49.677979797979795</v>
      </c>
      <c r="M59" t="s">
        <v>20</v>
      </c>
      <c r="N59">
        <f t="shared" si="11"/>
        <v>188651.55441736884</v>
      </c>
      <c r="O59">
        <f t="shared" si="4"/>
        <v>3797.488448293152</v>
      </c>
    </row>
    <row r="60" spans="1:15" x14ac:dyDescent="0.25">
      <c r="A60">
        <v>4</v>
      </c>
      <c r="B60" t="s">
        <v>223</v>
      </c>
      <c r="C60">
        <v>2074</v>
      </c>
      <c r="D60">
        <v>416.96</v>
      </c>
      <c r="E60">
        <v>864775</v>
      </c>
      <c r="F60">
        <v>378</v>
      </c>
      <c r="G60">
        <v>864775</v>
      </c>
      <c r="H60">
        <v>258.30500000000001</v>
      </c>
      <c r="I60" t="s">
        <v>76</v>
      </c>
      <c r="J60" t="s">
        <v>27</v>
      </c>
      <c r="K60" t="s">
        <v>162</v>
      </c>
      <c r="L60">
        <f t="shared" si="0"/>
        <v>52.182828282828282</v>
      </c>
      <c r="M60" t="s">
        <v>20</v>
      </c>
      <c r="N60">
        <f t="shared" si="11"/>
        <v>269244.13989975897</v>
      </c>
      <c r="O60">
        <f t="shared" si="4"/>
        <v>5159.6310272886967</v>
      </c>
    </row>
    <row r="61" spans="1:15" x14ac:dyDescent="0.25">
      <c r="A61">
        <v>5</v>
      </c>
      <c r="B61" t="s">
        <v>224</v>
      </c>
      <c r="C61">
        <v>1591</v>
      </c>
      <c r="D61">
        <v>365.17</v>
      </c>
      <c r="E61">
        <v>580985</v>
      </c>
      <c r="F61">
        <v>337</v>
      </c>
      <c r="G61">
        <v>580985</v>
      </c>
      <c r="H61">
        <v>198.161</v>
      </c>
      <c r="I61" t="s">
        <v>77</v>
      </c>
      <c r="J61" t="s">
        <v>27</v>
      </c>
      <c r="K61" t="s">
        <v>162</v>
      </c>
      <c r="L61">
        <f t="shared" si="0"/>
        <v>40.032525252525254</v>
      </c>
      <c r="M61" t="s">
        <v>20</v>
      </c>
      <c r="N61">
        <f t="shared" si="11"/>
        <v>124143.34213139652</v>
      </c>
      <c r="O61">
        <f t="shared" si="4"/>
        <v>3101.0619826828324</v>
      </c>
    </row>
    <row r="62" spans="1:15" x14ac:dyDescent="0.25">
      <c r="A62">
        <v>6</v>
      </c>
      <c r="B62" t="s">
        <v>225</v>
      </c>
      <c r="C62">
        <v>1320</v>
      </c>
      <c r="D62">
        <v>327.75299999999999</v>
      </c>
      <c r="E62">
        <v>432634</v>
      </c>
      <c r="F62">
        <v>313</v>
      </c>
      <c r="G62">
        <v>432634</v>
      </c>
      <c r="H62">
        <v>164.19200000000001</v>
      </c>
      <c r="I62" t="s">
        <v>78</v>
      </c>
      <c r="J62" t="s">
        <v>27</v>
      </c>
      <c r="K62" t="s">
        <v>162</v>
      </c>
      <c r="L62">
        <f t="shared" si="0"/>
        <v>33.170101010101007</v>
      </c>
      <c r="M62" t="s">
        <v>20</v>
      </c>
      <c r="N62">
        <f t="shared" si="11"/>
        <v>53607.608807946846</v>
      </c>
      <c r="O62">
        <f t="shared" si="4"/>
        <v>1616.1424649150806</v>
      </c>
    </row>
    <row r="63" spans="1:15" x14ac:dyDescent="0.25">
      <c r="A63">
        <v>7</v>
      </c>
      <c r="B63" t="s">
        <v>226</v>
      </c>
      <c r="C63">
        <v>1662</v>
      </c>
      <c r="D63">
        <v>321.98399999999998</v>
      </c>
      <c r="E63">
        <v>535138</v>
      </c>
      <c r="F63">
        <v>305</v>
      </c>
      <c r="G63">
        <v>535138</v>
      </c>
      <c r="H63">
        <v>206.58600000000001</v>
      </c>
      <c r="I63" t="s">
        <v>47</v>
      </c>
      <c r="J63" t="s">
        <v>27</v>
      </c>
      <c r="K63" t="s">
        <v>162</v>
      </c>
      <c r="L63">
        <f t="shared" si="0"/>
        <v>41.734545454545454</v>
      </c>
      <c r="M63" t="s">
        <v>20</v>
      </c>
      <c r="N63">
        <f t="shared" si="11"/>
        <v>57909.316544551228</v>
      </c>
      <c r="O63">
        <f t="shared" si="4"/>
        <v>1387.5631305873999</v>
      </c>
    </row>
    <row r="64" spans="1:15" x14ac:dyDescent="0.25">
      <c r="A64">
        <v>8</v>
      </c>
      <c r="B64" t="s">
        <v>227</v>
      </c>
      <c r="C64">
        <v>1505</v>
      </c>
      <c r="D64">
        <v>337.642</v>
      </c>
      <c r="E64">
        <v>508151</v>
      </c>
      <c r="F64">
        <v>311</v>
      </c>
      <c r="G64">
        <v>508151</v>
      </c>
      <c r="H64">
        <v>187.39</v>
      </c>
      <c r="I64" t="s">
        <v>79</v>
      </c>
      <c r="J64" t="s">
        <v>27</v>
      </c>
      <c r="K64" t="s">
        <v>162</v>
      </c>
      <c r="L64">
        <f t="shared" si="0"/>
        <v>37.85656565656565</v>
      </c>
      <c r="M64" t="s">
        <v>20</v>
      </c>
      <c r="N64">
        <f t="shared" si="11"/>
        <v>76003.485799969698</v>
      </c>
      <c r="O64">
        <f t="shared" si="4"/>
        <v>2007.6698581026205</v>
      </c>
    </row>
    <row r="65" spans="1:15" x14ac:dyDescent="0.25">
      <c r="A65">
        <v>9</v>
      </c>
      <c r="B65" t="s">
        <v>228</v>
      </c>
      <c r="C65">
        <v>1536</v>
      </c>
      <c r="D65">
        <v>287.10300000000001</v>
      </c>
      <c r="E65">
        <v>440990</v>
      </c>
      <c r="F65">
        <v>287</v>
      </c>
      <c r="G65">
        <v>440990</v>
      </c>
      <c r="H65">
        <v>191.32</v>
      </c>
      <c r="I65" t="s">
        <v>124</v>
      </c>
      <c r="K65" t="s">
        <v>162</v>
      </c>
      <c r="L65">
        <f t="shared" si="0"/>
        <v>38.650505050505046</v>
      </c>
      <c r="M65" t="s">
        <v>20</v>
      </c>
      <c r="O65">
        <f t="shared" si="4"/>
        <v>0</v>
      </c>
    </row>
    <row r="66" spans="1:15" x14ac:dyDescent="0.25">
      <c r="A66">
        <v>10</v>
      </c>
      <c r="B66" t="s">
        <v>229</v>
      </c>
      <c r="C66">
        <v>1499</v>
      </c>
      <c r="D66">
        <v>287.08699999999999</v>
      </c>
      <c r="E66">
        <v>430343</v>
      </c>
      <c r="F66">
        <v>287</v>
      </c>
      <c r="G66">
        <v>430343</v>
      </c>
      <c r="H66">
        <v>186.00700000000001</v>
      </c>
      <c r="I66" t="s">
        <v>124</v>
      </c>
      <c r="K66" t="s">
        <v>162</v>
      </c>
      <c r="L66">
        <f t="shared" ref="L66:L129" si="12">H66/4.95</f>
        <v>37.577171717171716</v>
      </c>
      <c r="M66" t="s">
        <v>20</v>
      </c>
      <c r="O66">
        <f t="shared" si="4"/>
        <v>0</v>
      </c>
    </row>
    <row r="67" spans="1:15" x14ac:dyDescent="0.25">
      <c r="A67">
        <v>11</v>
      </c>
      <c r="B67" t="s">
        <v>230</v>
      </c>
      <c r="C67">
        <v>1393</v>
      </c>
      <c r="D67">
        <v>287.23399999999998</v>
      </c>
      <c r="E67">
        <v>400117</v>
      </c>
      <c r="F67">
        <v>287</v>
      </c>
      <c r="G67">
        <v>400117</v>
      </c>
      <c r="H67">
        <v>172.92</v>
      </c>
      <c r="I67" t="s">
        <v>124</v>
      </c>
      <c r="K67" t="s">
        <v>162</v>
      </c>
      <c r="L67">
        <f t="shared" si="12"/>
        <v>34.93333333333333</v>
      </c>
      <c r="M67" t="s">
        <v>20</v>
      </c>
      <c r="O67">
        <f t="shared" si="4"/>
        <v>0</v>
      </c>
    </row>
    <row r="68" spans="1:15" x14ac:dyDescent="0.25">
      <c r="A68">
        <v>1</v>
      </c>
      <c r="B68" t="s">
        <v>231</v>
      </c>
      <c r="C68">
        <v>1272</v>
      </c>
      <c r="D68">
        <v>366.63099999999997</v>
      </c>
      <c r="E68">
        <v>466354</v>
      </c>
      <c r="F68">
        <v>324</v>
      </c>
      <c r="G68">
        <v>466354</v>
      </c>
      <c r="H68">
        <v>158.04900000000001</v>
      </c>
      <c r="I68" t="s">
        <v>80</v>
      </c>
      <c r="J68" t="s">
        <v>27</v>
      </c>
      <c r="K68" t="s">
        <v>162</v>
      </c>
      <c r="L68">
        <f t="shared" si="12"/>
        <v>31.92909090909091</v>
      </c>
      <c r="M68" t="s">
        <v>21</v>
      </c>
      <c r="N68">
        <f>G68-(((G$76/C$76*C68)+(G$77/C$77*C68)+(G$78/C$78*C68))/3)</f>
        <v>101379.50787868834</v>
      </c>
      <c r="O68">
        <f>N68/L68</f>
        <v>3175.1454548874544</v>
      </c>
    </row>
    <row r="69" spans="1:15" x14ac:dyDescent="0.25">
      <c r="A69">
        <v>2</v>
      </c>
      <c r="B69" t="s">
        <v>232</v>
      </c>
      <c r="C69">
        <v>1295</v>
      </c>
      <c r="D69">
        <v>362.54700000000003</v>
      </c>
      <c r="E69">
        <v>469498</v>
      </c>
      <c r="F69">
        <v>326</v>
      </c>
      <c r="G69">
        <v>469498</v>
      </c>
      <c r="H69">
        <v>161.06800000000001</v>
      </c>
      <c r="I69" t="s">
        <v>81</v>
      </c>
      <c r="J69" t="s">
        <v>27</v>
      </c>
      <c r="K69" t="s">
        <v>162</v>
      </c>
      <c r="L69">
        <f t="shared" si="12"/>
        <v>32.538989898989904</v>
      </c>
      <c r="M69" t="s">
        <v>21</v>
      </c>
      <c r="N69">
        <f t="shared" ref="N69:N75" si="13">G69-(((G$76/C$76*C69)+(G$77/C$77*C69)+(G$78/C$78*C69))/3)</f>
        <v>97924.126338758913</v>
      </c>
      <c r="O69">
        <f>N69/L69</f>
        <v>3009.4396489486212</v>
      </c>
    </row>
    <row r="70" spans="1:15" x14ac:dyDescent="0.25">
      <c r="A70">
        <v>3</v>
      </c>
      <c r="B70" t="s">
        <v>233</v>
      </c>
      <c r="C70">
        <v>1582</v>
      </c>
      <c r="D70">
        <v>359.90499999999997</v>
      </c>
      <c r="E70">
        <v>569369</v>
      </c>
      <c r="F70">
        <v>334</v>
      </c>
      <c r="G70">
        <v>569369</v>
      </c>
      <c r="H70">
        <v>196.614</v>
      </c>
      <c r="I70" t="s">
        <v>82</v>
      </c>
      <c r="J70" t="s">
        <v>27</v>
      </c>
      <c r="K70" t="s">
        <v>162</v>
      </c>
      <c r="L70">
        <f t="shared" si="12"/>
        <v>39.72</v>
      </c>
      <c r="M70" t="s">
        <v>21</v>
      </c>
      <c r="N70">
        <f t="shared" si="13"/>
        <v>115446.32190572709</v>
      </c>
      <c r="O70">
        <f t="shared" si="4"/>
        <v>2906.5035726517394</v>
      </c>
    </row>
    <row r="71" spans="1:15" x14ac:dyDescent="0.25">
      <c r="A71">
        <v>4</v>
      </c>
      <c r="B71" t="s">
        <v>234</v>
      </c>
      <c r="C71">
        <v>2005</v>
      </c>
      <c r="D71">
        <v>385.529</v>
      </c>
      <c r="E71">
        <v>772986</v>
      </c>
      <c r="F71">
        <v>356</v>
      </c>
      <c r="G71">
        <v>772986</v>
      </c>
      <c r="H71">
        <v>249.82300000000001</v>
      </c>
      <c r="I71" t="s">
        <v>83</v>
      </c>
      <c r="J71" t="s">
        <v>27</v>
      </c>
      <c r="K71" t="s">
        <v>162</v>
      </c>
      <c r="L71">
        <f t="shared" si="12"/>
        <v>50.469292929292926</v>
      </c>
      <c r="M71" t="s">
        <v>21</v>
      </c>
      <c r="N71">
        <f t="shared" si="13"/>
        <v>197692.08749746077</v>
      </c>
      <c r="O71">
        <f t="shared" si="4"/>
        <v>3917.0766226985943</v>
      </c>
    </row>
    <row r="72" spans="1:15" x14ac:dyDescent="0.25">
      <c r="A72">
        <v>5</v>
      </c>
      <c r="B72" t="s">
        <v>235</v>
      </c>
      <c r="C72">
        <v>1919</v>
      </c>
      <c r="D72">
        <v>407.28</v>
      </c>
      <c r="E72">
        <v>781570</v>
      </c>
      <c r="F72">
        <v>374</v>
      </c>
      <c r="G72">
        <v>781570</v>
      </c>
      <c r="H72">
        <v>239.67099999999999</v>
      </c>
      <c r="I72" t="s">
        <v>84</v>
      </c>
      <c r="J72" t="s">
        <v>27</v>
      </c>
      <c r="K72" t="s">
        <v>162</v>
      </c>
      <c r="L72">
        <f t="shared" si="12"/>
        <v>48.418383838383832</v>
      </c>
      <c r="M72" t="s">
        <v>21</v>
      </c>
      <c r="N72">
        <f t="shared" si="13"/>
        <v>230952.03586415318</v>
      </c>
      <c r="O72">
        <f t="shared" si="4"/>
        <v>4769.9245112156177</v>
      </c>
    </row>
    <row r="73" spans="1:15" x14ac:dyDescent="0.25">
      <c r="A73">
        <v>6</v>
      </c>
      <c r="B73" t="s">
        <v>236</v>
      </c>
      <c r="C73">
        <v>1479</v>
      </c>
      <c r="D73">
        <v>404.61799999999999</v>
      </c>
      <c r="E73">
        <v>598430</v>
      </c>
      <c r="F73">
        <v>365</v>
      </c>
      <c r="G73">
        <v>598430</v>
      </c>
      <c r="H73">
        <v>184.56100000000001</v>
      </c>
      <c r="I73" t="s">
        <v>85</v>
      </c>
      <c r="J73" t="s">
        <v>27</v>
      </c>
      <c r="K73" t="s">
        <v>162</v>
      </c>
      <c r="L73">
        <f t="shared" si="12"/>
        <v>37.285050505050506</v>
      </c>
      <c r="M73" t="s">
        <v>21</v>
      </c>
      <c r="N73">
        <f t="shared" si="13"/>
        <v>174061.07401932386</v>
      </c>
      <c r="O73">
        <f t="shared" si="4"/>
        <v>4668.3877763755781</v>
      </c>
    </row>
    <row r="74" spans="1:15" x14ac:dyDescent="0.25">
      <c r="A74">
        <v>7</v>
      </c>
      <c r="B74" t="s">
        <v>237</v>
      </c>
      <c r="C74">
        <v>1238</v>
      </c>
      <c r="D74">
        <v>335.053</v>
      </c>
      <c r="E74">
        <v>414795</v>
      </c>
      <c r="F74">
        <v>319</v>
      </c>
      <c r="G74">
        <v>414795</v>
      </c>
      <c r="H74">
        <v>154.03200000000001</v>
      </c>
      <c r="I74" t="s">
        <v>86</v>
      </c>
      <c r="J74" t="s">
        <v>27</v>
      </c>
      <c r="K74" t="s">
        <v>162</v>
      </c>
      <c r="L74">
        <f t="shared" si="12"/>
        <v>31.117575757575757</v>
      </c>
      <c r="M74" t="s">
        <v>21</v>
      </c>
      <c r="N74">
        <f t="shared" si="13"/>
        <v>59576.115372496948</v>
      </c>
      <c r="O74">
        <f t="shared" si="4"/>
        <v>1914.5487372355087</v>
      </c>
    </row>
    <row r="75" spans="1:15" x14ac:dyDescent="0.25">
      <c r="A75">
        <v>8</v>
      </c>
      <c r="B75" t="s">
        <v>238</v>
      </c>
      <c r="C75">
        <v>1725</v>
      </c>
      <c r="D75">
        <v>367.303</v>
      </c>
      <c r="E75">
        <v>633597</v>
      </c>
      <c r="F75">
        <v>336</v>
      </c>
      <c r="G75">
        <v>633597</v>
      </c>
      <c r="H75">
        <v>215.648</v>
      </c>
      <c r="I75" t="s">
        <v>87</v>
      </c>
      <c r="J75" t="s">
        <v>27</v>
      </c>
      <c r="K75" t="s">
        <v>162</v>
      </c>
      <c r="L75">
        <f t="shared" si="12"/>
        <v>43.565252525252525</v>
      </c>
      <c r="M75" t="s">
        <v>21</v>
      </c>
      <c r="N75">
        <f t="shared" si="13"/>
        <v>138643.38450529665</v>
      </c>
      <c r="O75">
        <f t="shared" si="4"/>
        <v>3182.4304111386073</v>
      </c>
    </row>
    <row r="76" spans="1:15" x14ac:dyDescent="0.25">
      <c r="A76">
        <v>9</v>
      </c>
      <c r="B76" t="s">
        <v>239</v>
      </c>
      <c r="C76">
        <v>1332</v>
      </c>
      <c r="D76">
        <v>286.68599999999998</v>
      </c>
      <c r="E76">
        <v>381866</v>
      </c>
      <c r="F76">
        <v>287</v>
      </c>
      <c r="G76">
        <v>381866</v>
      </c>
      <c r="H76">
        <v>165.04</v>
      </c>
      <c r="I76" t="s">
        <v>124</v>
      </c>
      <c r="K76" t="s">
        <v>162</v>
      </c>
      <c r="L76">
        <f t="shared" si="12"/>
        <v>33.341414141414141</v>
      </c>
      <c r="M76" t="s">
        <v>21</v>
      </c>
      <c r="O76">
        <f t="shared" si="4"/>
        <v>0</v>
      </c>
    </row>
    <row r="77" spans="1:15" x14ac:dyDescent="0.25">
      <c r="A77">
        <v>10</v>
      </c>
      <c r="B77" t="s">
        <v>240</v>
      </c>
      <c r="C77">
        <v>1597</v>
      </c>
      <c r="D77">
        <v>286.85000000000002</v>
      </c>
      <c r="E77">
        <v>458100</v>
      </c>
      <c r="F77">
        <v>287</v>
      </c>
      <c r="G77">
        <v>458100</v>
      </c>
      <c r="H77">
        <v>199.041</v>
      </c>
      <c r="I77" t="s">
        <v>124</v>
      </c>
      <c r="K77" t="s">
        <v>162</v>
      </c>
      <c r="L77">
        <f t="shared" si="12"/>
        <v>40.210303030303031</v>
      </c>
      <c r="M77" t="s">
        <v>21</v>
      </c>
      <c r="O77">
        <f t="shared" ref="O77:O140" si="14">N77/L77</f>
        <v>0</v>
      </c>
    </row>
    <row r="78" spans="1:15" x14ac:dyDescent="0.25">
      <c r="A78">
        <v>11</v>
      </c>
      <c r="B78" t="s">
        <v>241</v>
      </c>
      <c r="C78">
        <v>1585</v>
      </c>
      <c r="D78">
        <v>287.25200000000001</v>
      </c>
      <c r="E78">
        <v>455295</v>
      </c>
      <c r="F78">
        <v>287</v>
      </c>
      <c r="G78">
        <v>455295</v>
      </c>
      <c r="H78">
        <v>197.07900000000001</v>
      </c>
      <c r="I78" t="s">
        <v>124</v>
      </c>
      <c r="K78" t="s">
        <v>162</v>
      </c>
      <c r="L78">
        <f t="shared" si="12"/>
        <v>39.813939393939393</v>
      </c>
      <c r="M78" t="s">
        <v>21</v>
      </c>
      <c r="O78">
        <f t="shared" si="14"/>
        <v>0</v>
      </c>
    </row>
    <row r="79" spans="1:15" x14ac:dyDescent="0.25">
      <c r="A79">
        <v>1</v>
      </c>
      <c r="B79" t="s">
        <v>242</v>
      </c>
      <c r="C79">
        <v>1364</v>
      </c>
      <c r="D79">
        <v>371.62799999999999</v>
      </c>
      <c r="E79">
        <v>506900</v>
      </c>
      <c r="F79">
        <v>336</v>
      </c>
      <c r="G79">
        <v>506900</v>
      </c>
      <c r="H79">
        <v>169.68199999999999</v>
      </c>
      <c r="I79" t="s">
        <v>48</v>
      </c>
      <c r="J79" t="s">
        <v>27</v>
      </c>
      <c r="K79" t="s">
        <v>162</v>
      </c>
      <c r="L79">
        <f t="shared" si="12"/>
        <v>34.279191919191916</v>
      </c>
      <c r="M79" t="s">
        <v>22</v>
      </c>
      <c r="N79">
        <f t="shared" ref="N79:N86" si="15">G79-(((G$87/C$87*C79)+(G$88/C$88*C79)+(G$89/C$89*C79))/3)</f>
        <v>115829.74203556433</v>
      </c>
      <c r="O79">
        <f t="shared" si="14"/>
        <v>3379.0102843910577</v>
      </c>
    </row>
    <row r="80" spans="1:15" x14ac:dyDescent="0.25">
      <c r="A80">
        <v>2</v>
      </c>
      <c r="B80" t="s">
        <v>243</v>
      </c>
      <c r="C80">
        <v>2008</v>
      </c>
      <c r="D80">
        <v>363.279</v>
      </c>
      <c r="E80">
        <v>729465</v>
      </c>
      <c r="F80">
        <v>334</v>
      </c>
      <c r="G80">
        <v>729465</v>
      </c>
      <c r="H80">
        <v>249.36500000000001</v>
      </c>
      <c r="I80" t="s">
        <v>88</v>
      </c>
      <c r="J80" t="s">
        <v>27</v>
      </c>
      <c r="K80" t="s">
        <v>162</v>
      </c>
      <c r="L80">
        <f t="shared" si="12"/>
        <v>50.376767676767678</v>
      </c>
      <c r="M80" t="s">
        <v>22</v>
      </c>
      <c r="N80">
        <f t="shared" si="15"/>
        <v>153754.53226349934</v>
      </c>
      <c r="O80">
        <f t="shared" si="14"/>
        <v>3052.0920526309696</v>
      </c>
    </row>
    <row r="81" spans="1:15" x14ac:dyDescent="0.25">
      <c r="A81">
        <v>3</v>
      </c>
      <c r="B81" t="s">
        <v>244</v>
      </c>
      <c r="C81">
        <v>1663</v>
      </c>
      <c r="D81">
        <v>364.06700000000001</v>
      </c>
      <c r="E81">
        <v>605444</v>
      </c>
      <c r="F81">
        <v>339</v>
      </c>
      <c r="G81">
        <v>605444</v>
      </c>
      <c r="H81">
        <v>206.983</v>
      </c>
      <c r="I81" t="s">
        <v>89</v>
      </c>
      <c r="J81" t="s">
        <v>27</v>
      </c>
      <c r="K81" t="s">
        <v>162</v>
      </c>
      <c r="L81">
        <f t="shared" si="12"/>
        <v>41.814747474747477</v>
      </c>
      <c r="M81" t="s">
        <v>22</v>
      </c>
      <c r="N81">
        <f t="shared" si="15"/>
        <v>128647.93035567709</v>
      </c>
      <c r="O81">
        <f t="shared" si="14"/>
        <v>3076.6162209485879</v>
      </c>
    </row>
    <row r="82" spans="1:15" x14ac:dyDescent="0.25">
      <c r="A82">
        <v>4</v>
      </c>
      <c r="B82" t="s">
        <v>245</v>
      </c>
      <c r="C82">
        <v>1502</v>
      </c>
      <c r="D82">
        <v>383.48500000000001</v>
      </c>
      <c r="E82">
        <v>575995</v>
      </c>
      <c r="F82">
        <v>347</v>
      </c>
      <c r="G82">
        <v>575995</v>
      </c>
      <c r="H82">
        <v>186.49</v>
      </c>
      <c r="I82" t="s">
        <v>90</v>
      </c>
      <c r="J82" t="s">
        <v>27</v>
      </c>
      <c r="K82" t="s">
        <v>162</v>
      </c>
      <c r="L82">
        <f t="shared" si="12"/>
        <v>37.674747474747477</v>
      </c>
      <c r="M82" t="s">
        <v>22</v>
      </c>
      <c r="N82">
        <f t="shared" si="15"/>
        <v>145358.98279869324</v>
      </c>
      <c r="O82">
        <f t="shared" si="14"/>
        <v>3858.2603080783501</v>
      </c>
    </row>
    <row r="83" spans="1:15" x14ac:dyDescent="0.25">
      <c r="A83">
        <v>5</v>
      </c>
      <c r="B83" t="s">
        <v>246</v>
      </c>
      <c r="C83">
        <v>1193</v>
      </c>
      <c r="D83">
        <v>302.483</v>
      </c>
      <c r="E83">
        <v>360862</v>
      </c>
      <c r="F83">
        <v>296</v>
      </c>
      <c r="G83">
        <v>360862</v>
      </c>
      <c r="H83">
        <v>148.21899999999999</v>
      </c>
      <c r="I83" t="s">
        <v>91</v>
      </c>
      <c r="J83" t="s">
        <v>27</v>
      </c>
      <c r="K83" t="s">
        <v>162</v>
      </c>
      <c r="L83">
        <f t="shared" si="12"/>
        <v>29.943232323232319</v>
      </c>
      <c r="M83" t="s">
        <v>22</v>
      </c>
      <c r="N83">
        <f t="shared" si="15"/>
        <v>18818.87848125241</v>
      </c>
      <c r="O83">
        <f t="shared" si="14"/>
        <v>628.48520420593479</v>
      </c>
    </row>
    <row r="84" spans="1:15" x14ac:dyDescent="0.25">
      <c r="A84">
        <v>6</v>
      </c>
      <c r="B84" t="s">
        <v>247</v>
      </c>
      <c r="C84">
        <v>1390</v>
      </c>
      <c r="D84">
        <v>354.88</v>
      </c>
      <c r="E84">
        <v>493283</v>
      </c>
      <c r="F84">
        <v>322</v>
      </c>
      <c r="G84">
        <v>493283</v>
      </c>
      <c r="H84">
        <v>172.893</v>
      </c>
      <c r="I84" t="s">
        <v>92</v>
      </c>
      <c r="J84" t="s">
        <v>27</v>
      </c>
      <c r="K84" t="s">
        <v>162</v>
      </c>
      <c r="L84">
        <f t="shared" si="12"/>
        <v>34.92787878787879</v>
      </c>
      <c r="M84" t="s">
        <v>22</v>
      </c>
      <c r="N84">
        <f t="shared" si="15"/>
        <v>94758.323628617625</v>
      </c>
      <c r="O84">
        <f t="shared" si="14"/>
        <v>2712.9710396699534</v>
      </c>
    </row>
    <row r="85" spans="1:15" x14ac:dyDescent="0.25">
      <c r="A85">
        <v>7</v>
      </c>
      <c r="B85" t="s">
        <v>248</v>
      </c>
      <c r="C85">
        <v>1539</v>
      </c>
      <c r="D85">
        <v>321.553</v>
      </c>
      <c r="E85">
        <v>494870</v>
      </c>
      <c r="F85">
        <v>309</v>
      </c>
      <c r="G85">
        <v>494870</v>
      </c>
      <c r="H85">
        <v>191.20400000000001</v>
      </c>
      <c r="I85" t="s">
        <v>93</v>
      </c>
      <c r="J85" t="s">
        <v>27</v>
      </c>
      <c r="K85" t="s">
        <v>162</v>
      </c>
      <c r="L85">
        <f t="shared" si="12"/>
        <v>38.627070707070708</v>
      </c>
      <c r="M85" t="s">
        <v>22</v>
      </c>
      <c r="N85">
        <f t="shared" si="15"/>
        <v>53625.771988807537</v>
      </c>
      <c r="O85">
        <f t="shared" si="14"/>
        <v>1388.295074081072</v>
      </c>
    </row>
    <row r="86" spans="1:15" x14ac:dyDescent="0.25">
      <c r="A86">
        <v>8</v>
      </c>
      <c r="B86" t="s">
        <v>249</v>
      </c>
      <c r="C86">
        <v>2004</v>
      </c>
      <c r="D86">
        <v>415.142</v>
      </c>
      <c r="E86">
        <v>831944</v>
      </c>
      <c r="F86">
        <v>369</v>
      </c>
      <c r="G86">
        <v>831944</v>
      </c>
      <c r="H86">
        <v>249.33199999999999</v>
      </c>
      <c r="I86" t="s">
        <v>94</v>
      </c>
      <c r="J86" t="s">
        <v>27</v>
      </c>
      <c r="K86" t="s">
        <v>162</v>
      </c>
      <c r="L86">
        <f t="shared" si="12"/>
        <v>50.37010101010101</v>
      </c>
      <c r="M86" t="s">
        <v>22</v>
      </c>
      <c r="N86">
        <f t="shared" si="15"/>
        <v>257380.36586456827</v>
      </c>
      <c r="O86">
        <f t="shared" si="14"/>
        <v>5109.7845885390279</v>
      </c>
    </row>
    <row r="87" spans="1:15" x14ac:dyDescent="0.25">
      <c r="A87">
        <v>9</v>
      </c>
      <c r="B87" t="s">
        <v>250</v>
      </c>
      <c r="C87">
        <v>1424</v>
      </c>
      <c r="D87">
        <v>286.59899999999999</v>
      </c>
      <c r="E87">
        <v>408117</v>
      </c>
      <c r="F87">
        <v>287</v>
      </c>
      <c r="G87">
        <v>408117</v>
      </c>
      <c r="H87">
        <v>177.59200000000001</v>
      </c>
      <c r="I87" t="s">
        <v>124</v>
      </c>
      <c r="K87" t="s">
        <v>162</v>
      </c>
      <c r="L87">
        <f t="shared" si="12"/>
        <v>35.87717171717172</v>
      </c>
      <c r="M87" t="s">
        <v>22</v>
      </c>
      <c r="O87">
        <f t="shared" si="14"/>
        <v>0</v>
      </c>
    </row>
    <row r="88" spans="1:15" x14ac:dyDescent="0.25">
      <c r="A88">
        <v>10</v>
      </c>
      <c r="B88" t="s">
        <v>251</v>
      </c>
      <c r="C88">
        <v>1445</v>
      </c>
      <c r="D88">
        <v>286.86599999999999</v>
      </c>
      <c r="E88">
        <v>414522</v>
      </c>
      <c r="F88">
        <v>287</v>
      </c>
      <c r="G88">
        <v>414522</v>
      </c>
      <c r="H88">
        <v>179.208</v>
      </c>
      <c r="I88" t="s">
        <v>124</v>
      </c>
      <c r="K88" t="s">
        <v>162</v>
      </c>
      <c r="L88">
        <f t="shared" si="12"/>
        <v>36.203636363636363</v>
      </c>
      <c r="M88" t="s">
        <v>22</v>
      </c>
      <c r="O88">
        <f t="shared" si="14"/>
        <v>0</v>
      </c>
    </row>
    <row r="89" spans="1:15" x14ac:dyDescent="0.25">
      <c r="A89">
        <v>11</v>
      </c>
      <c r="B89" t="s">
        <v>252</v>
      </c>
      <c r="C89">
        <v>1349</v>
      </c>
      <c r="D89">
        <v>286.66000000000003</v>
      </c>
      <c r="E89">
        <v>386704</v>
      </c>
      <c r="F89">
        <v>287</v>
      </c>
      <c r="G89">
        <v>386704</v>
      </c>
      <c r="H89">
        <v>167.15600000000001</v>
      </c>
      <c r="I89" t="s">
        <v>124</v>
      </c>
      <c r="K89" t="s">
        <v>162</v>
      </c>
      <c r="L89">
        <f t="shared" si="12"/>
        <v>33.768888888888888</v>
      </c>
      <c r="M89" t="s">
        <v>22</v>
      </c>
      <c r="O89">
        <f t="shared" si="14"/>
        <v>0</v>
      </c>
    </row>
    <row r="90" spans="1:15" x14ac:dyDescent="0.25">
      <c r="A90">
        <v>1</v>
      </c>
      <c r="B90" t="s">
        <v>253</v>
      </c>
      <c r="C90">
        <v>2013</v>
      </c>
      <c r="D90">
        <v>371.69499999999999</v>
      </c>
      <c r="E90">
        <v>748223</v>
      </c>
      <c r="F90">
        <v>336</v>
      </c>
      <c r="G90">
        <v>748223</v>
      </c>
      <c r="H90">
        <v>251.089</v>
      </c>
      <c r="I90" t="s">
        <v>95</v>
      </c>
      <c r="J90" t="s">
        <v>27</v>
      </c>
      <c r="K90" t="s">
        <v>163</v>
      </c>
      <c r="L90">
        <f t="shared" si="12"/>
        <v>50.725050505050504</v>
      </c>
      <c r="M90" t="s">
        <v>23</v>
      </c>
      <c r="N90">
        <f t="shared" ref="N90:N97" si="16">G90-(((G$98/C$98*C90)+(G$99/C$99*C90)+(G$100/C$100*C90))/3)</f>
        <v>171161.81942223152</v>
      </c>
      <c r="O90">
        <f t="shared" si="14"/>
        <v>3374.3055495861868</v>
      </c>
    </row>
    <row r="91" spans="1:15" x14ac:dyDescent="0.25">
      <c r="A91">
        <v>2</v>
      </c>
      <c r="B91" t="s">
        <v>254</v>
      </c>
      <c r="C91">
        <v>1903</v>
      </c>
      <c r="D91">
        <v>353.95800000000003</v>
      </c>
      <c r="E91">
        <v>673583</v>
      </c>
      <c r="F91">
        <v>329</v>
      </c>
      <c r="G91">
        <v>673583</v>
      </c>
      <c r="H91">
        <v>236.626</v>
      </c>
      <c r="I91" t="s">
        <v>96</v>
      </c>
      <c r="J91" t="s">
        <v>27</v>
      </c>
      <c r="K91" t="s">
        <v>163</v>
      </c>
      <c r="L91">
        <f t="shared" si="12"/>
        <v>47.803232323232322</v>
      </c>
      <c r="M91" t="s">
        <v>23</v>
      </c>
      <c r="N91">
        <f t="shared" si="16"/>
        <v>128055.21726801118</v>
      </c>
      <c r="O91">
        <f t="shared" si="14"/>
        <v>2678.7982955239718</v>
      </c>
    </row>
    <row r="92" spans="1:15" x14ac:dyDescent="0.25">
      <c r="A92">
        <v>3</v>
      </c>
      <c r="B92" t="s">
        <v>255</v>
      </c>
      <c r="C92">
        <v>1647</v>
      </c>
      <c r="D92">
        <v>363.53699999999998</v>
      </c>
      <c r="E92">
        <v>598745</v>
      </c>
      <c r="F92">
        <v>332</v>
      </c>
      <c r="G92">
        <v>598745</v>
      </c>
      <c r="H92">
        <v>205.26300000000001</v>
      </c>
      <c r="I92" t="s">
        <v>49</v>
      </c>
      <c r="J92" t="s">
        <v>27</v>
      </c>
      <c r="K92" t="s">
        <v>163</v>
      </c>
      <c r="L92">
        <f t="shared" si="12"/>
        <v>41.467272727272729</v>
      </c>
      <c r="M92" t="s">
        <v>23</v>
      </c>
      <c r="N92">
        <f t="shared" si="16"/>
        <v>126604.03407273488</v>
      </c>
      <c r="O92">
        <f t="shared" si="14"/>
        <v>3053.1073240673559</v>
      </c>
    </row>
    <row r="93" spans="1:15" x14ac:dyDescent="0.25">
      <c r="A93">
        <v>4</v>
      </c>
      <c r="B93" t="s">
        <v>256</v>
      </c>
      <c r="C93">
        <v>1609</v>
      </c>
      <c r="D93">
        <v>397.92500000000001</v>
      </c>
      <c r="E93">
        <v>640261</v>
      </c>
      <c r="F93">
        <v>358</v>
      </c>
      <c r="G93">
        <v>640261</v>
      </c>
      <c r="H93">
        <v>201.02199999999999</v>
      </c>
      <c r="I93" t="s">
        <v>97</v>
      </c>
      <c r="J93" t="s">
        <v>27</v>
      </c>
      <c r="K93" t="s">
        <v>163</v>
      </c>
      <c r="L93">
        <f t="shared" si="12"/>
        <v>40.610505050505047</v>
      </c>
      <c r="M93" t="s">
        <v>23</v>
      </c>
      <c r="N93">
        <f t="shared" si="16"/>
        <v>179013.38969218609</v>
      </c>
      <c r="O93">
        <f t="shared" si="14"/>
        <v>4408.0562275587808</v>
      </c>
    </row>
    <row r="94" spans="1:15" x14ac:dyDescent="0.25">
      <c r="A94">
        <v>5</v>
      </c>
      <c r="B94" t="s">
        <v>257</v>
      </c>
      <c r="C94">
        <v>1394</v>
      </c>
      <c r="D94">
        <v>314.26600000000002</v>
      </c>
      <c r="E94">
        <v>438087</v>
      </c>
      <c r="F94">
        <v>302</v>
      </c>
      <c r="G94">
        <v>438087</v>
      </c>
      <c r="H94">
        <v>173.084</v>
      </c>
      <c r="I94" t="s">
        <v>98</v>
      </c>
      <c r="J94" t="s">
        <v>27</v>
      </c>
      <c r="K94" t="s">
        <v>163</v>
      </c>
      <c r="L94">
        <f t="shared" si="12"/>
        <v>34.966464646464644</v>
      </c>
      <c r="M94" t="s">
        <v>23</v>
      </c>
      <c r="N94">
        <f t="shared" si="16"/>
        <v>38472.849118028127</v>
      </c>
      <c r="O94">
        <f t="shared" si="14"/>
        <v>1100.2784956104506</v>
      </c>
    </row>
    <row r="95" spans="1:15" x14ac:dyDescent="0.25">
      <c r="A95">
        <v>6</v>
      </c>
      <c r="B95" t="s">
        <v>258</v>
      </c>
      <c r="C95">
        <v>2047</v>
      </c>
      <c r="D95">
        <v>384.88499999999999</v>
      </c>
      <c r="E95">
        <v>787859</v>
      </c>
      <c r="F95">
        <v>353</v>
      </c>
      <c r="G95">
        <v>787859</v>
      </c>
      <c r="H95">
        <v>254.91900000000001</v>
      </c>
      <c r="I95" t="s">
        <v>99</v>
      </c>
      <c r="J95" t="s">
        <v>27</v>
      </c>
      <c r="K95" t="s">
        <v>163</v>
      </c>
      <c r="L95">
        <f t="shared" si="12"/>
        <v>51.49878787878788</v>
      </c>
      <c r="M95" t="s">
        <v>23</v>
      </c>
      <c r="N95">
        <f t="shared" si="16"/>
        <v>201051.13281535415</v>
      </c>
      <c r="O95">
        <f t="shared" si="14"/>
        <v>3903.9973773473262</v>
      </c>
    </row>
    <row r="96" spans="1:15" x14ac:dyDescent="0.25">
      <c r="A96">
        <v>7</v>
      </c>
      <c r="B96" t="s">
        <v>259</v>
      </c>
      <c r="C96">
        <v>1550</v>
      </c>
      <c r="D96">
        <v>392.33</v>
      </c>
      <c r="E96">
        <v>608112</v>
      </c>
      <c r="F96">
        <v>362</v>
      </c>
      <c r="G96">
        <v>608112</v>
      </c>
      <c r="H96">
        <v>193.06399999999999</v>
      </c>
      <c r="I96" t="s">
        <v>100</v>
      </c>
      <c r="J96" t="s">
        <v>27</v>
      </c>
      <c r="K96" t="s">
        <v>163</v>
      </c>
      <c r="L96">
        <f t="shared" si="12"/>
        <v>39.002828282828283</v>
      </c>
      <c r="M96" t="s">
        <v>23</v>
      </c>
      <c r="N96">
        <f t="shared" si="16"/>
        <v>163777.7576276497</v>
      </c>
      <c r="O96">
        <f t="shared" si="14"/>
        <v>4199.1251618989872</v>
      </c>
    </row>
    <row r="97" spans="1:15" x14ac:dyDescent="0.25">
      <c r="A97">
        <v>8</v>
      </c>
      <c r="B97" t="s">
        <v>260</v>
      </c>
      <c r="C97">
        <v>1778</v>
      </c>
      <c r="D97">
        <v>355.303</v>
      </c>
      <c r="E97">
        <v>631728</v>
      </c>
      <c r="F97">
        <v>331</v>
      </c>
      <c r="G97">
        <v>631728</v>
      </c>
      <c r="H97">
        <v>221.441</v>
      </c>
      <c r="I97" t="s">
        <v>101</v>
      </c>
      <c r="J97" t="s">
        <v>27</v>
      </c>
      <c r="K97" t="s">
        <v>163</v>
      </c>
      <c r="L97">
        <f t="shared" si="12"/>
        <v>44.735555555555557</v>
      </c>
      <c r="M97" t="s">
        <v>23</v>
      </c>
      <c r="N97">
        <f t="shared" si="16"/>
        <v>122033.62391094276</v>
      </c>
      <c r="O97">
        <f t="shared" si="14"/>
        <v>2727.8888659244071</v>
      </c>
    </row>
    <row r="98" spans="1:15" x14ac:dyDescent="0.25">
      <c r="A98">
        <v>9</v>
      </c>
      <c r="B98" t="s">
        <v>261</v>
      </c>
      <c r="C98">
        <v>1586</v>
      </c>
      <c r="D98">
        <v>286.61799999999999</v>
      </c>
      <c r="E98">
        <v>454576</v>
      </c>
      <c r="F98">
        <v>287</v>
      </c>
      <c r="G98">
        <v>454576</v>
      </c>
      <c r="H98">
        <v>196.77</v>
      </c>
      <c r="I98" t="s">
        <v>124</v>
      </c>
      <c r="K98" t="s">
        <v>163</v>
      </c>
      <c r="L98">
        <f t="shared" si="12"/>
        <v>39.75151515151515</v>
      </c>
      <c r="M98" t="s">
        <v>23</v>
      </c>
      <c r="O98">
        <f t="shared" si="14"/>
        <v>0</v>
      </c>
    </row>
    <row r="99" spans="1:15" x14ac:dyDescent="0.25">
      <c r="A99">
        <v>10</v>
      </c>
      <c r="B99" t="s">
        <v>262</v>
      </c>
      <c r="C99">
        <v>1385</v>
      </c>
      <c r="D99">
        <v>286.59100000000001</v>
      </c>
      <c r="E99">
        <v>396929</v>
      </c>
      <c r="F99">
        <v>287</v>
      </c>
      <c r="G99">
        <v>396929</v>
      </c>
      <c r="H99">
        <v>171.821</v>
      </c>
      <c r="I99" t="s">
        <v>124</v>
      </c>
      <c r="K99" t="s">
        <v>163</v>
      </c>
      <c r="L99">
        <f t="shared" si="12"/>
        <v>34.711313131313126</v>
      </c>
      <c r="M99" t="s">
        <v>23</v>
      </c>
      <c r="O99">
        <f t="shared" si="14"/>
        <v>0</v>
      </c>
    </row>
    <row r="100" spans="1:15" x14ac:dyDescent="0.25">
      <c r="A100">
        <v>11</v>
      </c>
      <c r="B100" t="s">
        <v>263</v>
      </c>
      <c r="C100">
        <v>1470</v>
      </c>
      <c r="D100">
        <v>286.79300000000001</v>
      </c>
      <c r="E100">
        <v>421585</v>
      </c>
      <c r="F100">
        <v>287</v>
      </c>
      <c r="G100">
        <v>421585</v>
      </c>
      <c r="H100">
        <v>182.43</v>
      </c>
      <c r="I100" t="s">
        <v>124</v>
      </c>
      <c r="K100" t="s">
        <v>163</v>
      </c>
      <c r="L100">
        <f t="shared" si="12"/>
        <v>36.854545454545452</v>
      </c>
      <c r="M100" t="s">
        <v>23</v>
      </c>
      <c r="O100">
        <f t="shared" si="14"/>
        <v>0</v>
      </c>
    </row>
    <row r="101" spans="1:15" x14ac:dyDescent="0.25">
      <c r="A101">
        <v>1</v>
      </c>
      <c r="B101" t="s">
        <v>264</v>
      </c>
      <c r="C101">
        <v>1870</v>
      </c>
      <c r="D101">
        <v>381.87700000000001</v>
      </c>
      <c r="E101">
        <v>714110</v>
      </c>
      <c r="F101">
        <v>338</v>
      </c>
      <c r="G101">
        <v>714110</v>
      </c>
      <c r="H101">
        <v>232.97300000000001</v>
      </c>
      <c r="I101" t="s">
        <v>102</v>
      </c>
      <c r="J101" t="s">
        <v>27</v>
      </c>
      <c r="K101" t="s">
        <v>163</v>
      </c>
      <c r="L101">
        <f t="shared" si="12"/>
        <v>47.065252525252525</v>
      </c>
      <c r="M101" t="s">
        <v>24</v>
      </c>
      <c r="N101">
        <f t="shared" ref="N101:N108" si="17">G101-(((G$109/C$109*C101)+(G$110/C$110*C101)+(G$111/C$111*C101))/3)</f>
        <v>177548.62009891332</v>
      </c>
      <c r="O101">
        <f t="shared" si="14"/>
        <v>3772.3928072764697</v>
      </c>
    </row>
    <row r="102" spans="1:15" x14ac:dyDescent="0.25">
      <c r="A102">
        <v>2</v>
      </c>
      <c r="B102" t="s">
        <v>265</v>
      </c>
      <c r="C102">
        <v>2039</v>
      </c>
      <c r="D102">
        <v>385.11</v>
      </c>
      <c r="E102">
        <v>785239</v>
      </c>
      <c r="F102">
        <v>345</v>
      </c>
      <c r="G102">
        <v>785239</v>
      </c>
      <c r="H102">
        <v>254.53399999999999</v>
      </c>
      <c r="I102" t="s">
        <v>103</v>
      </c>
      <c r="J102" t="s">
        <v>27</v>
      </c>
      <c r="K102" t="s">
        <v>163</v>
      </c>
      <c r="L102">
        <f t="shared" si="12"/>
        <v>51.421010101010097</v>
      </c>
      <c r="M102" t="s">
        <v>24</v>
      </c>
      <c r="N102">
        <f t="shared" si="17"/>
        <v>200186.24405437661</v>
      </c>
      <c r="O102">
        <f t="shared" si="14"/>
        <v>3893.0826847068147</v>
      </c>
    </row>
    <row r="103" spans="1:15" x14ac:dyDescent="0.25">
      <c r="A103">
        <v>3</v>
      </c>
      <c r="B103" t="s">
        <v>266</v>
      </c>
      <c r="C103">
        <v>1626</v>
      </c>
      <c r="D103">
        <v>338.21300000000002</v>
      </c>
      <c r="E103">
        <v>549935</v>
      </c>
      <c r="F103">
        <v>318</v>
      </c>
      <c r="G103">
        <v>549935</v>
      </c>
      <c r="H103">
        <v>201.994</v>
      </c>
      <c r="I103" t="s">
        <v>104</v>
      </c>
      <c r="J103" t="s">
        <v>27</v>
      </c>
      <c r="K103" t="s">
        <v>163</v>
      </c>
      <c r="L103">
        <f t="shared" si="12"/>
        <v>40.806868686868683</v>
      </c>
      <c r="M103" t="s">
        <v>24</v>
      </c>
      <c r="N103">
        <f t="shared" si="17"/>
        <v>83384.837583333254</v>
      </c>
      <c r="O103">
        <f t="shared" si="14"/>
        <v>2043.402012126596</v>
      </c>
    </row>
    <row r="104" spans="1:15" x14ac:dyDescent="0.25">
      <c r="A104">
        <v>4</v>
      </c>
      <c r="B104" t="s">
        <v>267</v>
      </c>
      <c r="C104">
        <v>1879</v>
      </c>
      <c r="D104">
        <v>393.71</v>
      </c>
      <c r="E104">
        <v>739782</v>
      </c>
      <c r="F104">
        <v>364</v>
      </c>
      <c r="G104">
        <v>739782</v>
      </c>
      <c r="H104">
        <v>236.98099999999999</v>
      </c>
      <c r="I104" t="s">
        <v>105</v>
      </c>
      <c r="J104" t="s">
        <v>27</v>
      </c>
      <c r="K104" t="s">
        <v>163</v>
      </c>
      <c r="L104">
        <f t="shared" si="12"/>
        <v>47.87494949494949</v>
      </c>
      <c r="M104" t="s">
        <v>24</v>
      </c>
      <c r="N104">
        <f t="shared" si="17"/>
        <v>200638.23912612733</v>
      </c>
      <c r="O104">
        <f t="shared" si="14"/>
        <v>4190.8814785756258</v>
      </c>
    </row>
    <row r="105" spans="1:15" x14ac:dyDescent="0.25">
      <c r="A105">
        <v>5</v>
      </c>
      <c r="B105" t="s">
        <v>268</v>
      </c>
      <c r="C105">
        <v>1906</v>
      </c>
      <c r="D105">
        <v>389.49099999999999</v>
      </c>
      <c r="E105">
        <v>742369</v>
      </c>
      <c r="F105">
        <v>353</v>
      </c>
      <c r="G105">
        <v>742369</v>
      </c>
      <c r="H105">
        <v>238.089</v>
      </c>
      <c r="I105" t="s">
        <v>50</v>
      </c>
      <c r="J105" t="s">
        <v>27</v>
      </c>
      <c r="K105" t="s">
        <v>163</v>
      </c>
      <c r="L105">
        <f t="shared" si="12"/>
        <v>48.098787878787874</v>
      </c>
      <c r="M105" t="s">
        <v>24</v>
      </c>
      <c r="N105">
        <f t="shared" si="17"/>
        <v>195478.09620776947</v>
      </c>
      <c r="O105">
        <f t="shared" si="14"/>
        <v>4064.0960994773341</v>
      </c>
    </row>
    <row r="106" spans="1:15" x14ac:dyDescent="0.25">
      <c r="A106">
        <v>6</v>
      </c>
      <c r="B106" t="s">
        <v>269</v>
      </c>
      <c r="C106">
        <v>1784</v>
      </c>
      <c r="D106">
        <v>378.64299999999997</v>
      </c>
      <c r="E106">
        <v>675499</v>
      </c>
      <c r="F106">
        <v>352</v>
      </c>
      <c r="G106">
        <v>675499</v>
      </c>
      <c r="H106">
        <v>222.29400000000001</v>
      </c>
      <c r="I106" t="s">
        <v>106</v>
      </c>
      <c r="J106" t="s">
        <v>27</v>
      </c>
      <c r="K106" t="s">
        <v>163</v>
      </c>
      <c r="L106">
        <f t="shared" si="12"/>
        <v>44.907878787878786</v>
      </c>
      <c r="M106" t="s">
        <v>24</v>
      </c>
      <c r="N106">
        <f t="shared" si="17"/>
        <v>163613.70494997938</v>
      </c>
      <c r="O106">
        <f t="shared" si="14"/>
        <v>3643.3184858898485</v>
      </c>
    </row>
    <row r="107" spans="1:15" x14ac:dyDescent="0.25">
      <c r="A107">
        <v>7</v>
      </c>
      <c r="B107" t="s">
        <v>270</v>
      </c>
      <c r="C107">
        <v>2092</v>
      </c>
      <c r="D107">
        <v>376.40699999999998</v>
      </c>
      <c r="E107">
        <v>787444</v>
      </c>
      <c r="F107">
        <v>348</v>
      </c>
      <c r="G107">
        <v>787444</v>
      </c>
      <c r="H107">
        <v>262.04899999999998</v>
      </c>
      <c r="I107" t="s">
        <v>107</v>
      </c>
      <c r="J107" t="s">
        <v>27</v>
      </c>
      <c r="K107" t="s">
        <v>163</v>
      </c>
      <c r="L107">
        <f t="shared" si="12"/>
        <v>52.939191919191913</v>
      </c>
      <c r="M107" t="s">
        <v>24</v>
      </c>
      <c r="N107">
        <f t="shared" si="17"/>
        <v>187183.88943685917</v>
      </c>
      <c r="O107">
        <f t="shared" si="14"/>
        <v>3535.8282333168722</v>
      </c>
    </row>
    <row r="108" spans="1:15" x14ac:dyDescent="0.25">
      <c r="A108">
        <v>8</v>
      </c>
      <c r="B108" t="s">
        <v>271</v>
      </c>
      <c r="C108">
        <v>1480</v>
      </c>
      <c r="D108">
        <v>289.68599999999998</v>
      </c>
      <c r="E108">
        <v>428735</v>
      </c>
      <c r="F108">
        <v>289</v>
      </c>
      <c r="G108">
        <v>428735</v>
      </c>
      <c r="H108">
        <v>184.422</v>
      </c>
      <c r="I108" t="s">
        <v>108</v>
      </c>
      <c r="J108" t="s">
        <v>27</v>
      </c>
      <c r="K108" t="s">
        <v>163</v>
      </c>
      <c r="L108">
        <f t="shared" si="12"/>
        <v>37.256969696969698</v>
      </c>
      <c r="M108" t="s">
        <v>24</v>
      </c>
      <c r="N108">
        <f t="shared" si="17"/>
        <v>4076.7955863057286</v>
      </c>
      <c r="O108">
        <f t="shared" si="14"/>
        <v>109.42370298670092</v>
      </c>
    </row>
    <row r="109" spans="1:15" x14ac:dyDescent="0.25">
      <c r="A109">
        <v>9</v>
      </c>
      <c r="B109" t="s">
        <v>272</v>
      </c>
      <c r="C109">
        <v>1706</v>
      </c>
      <c r="D109">
        <v>286.589</v>
      </c>
      <c r="E109">
        <v>488920</v>
      </c>
      <c r="F109">
        <v>287</v>
      </c>
      <c r="G109">
        <v>488920</v>
      </c>
      <c r="H109">
        <v>212.035</v>
      </c>
      <c r="I109" t="s">
        <v>124</v>
      </c>
      <c r="K109" t="s">
        <v>163</v>
      </c>
      <c r="L109">
        <f t="shared" si="12"/>
        <v>42.835353535353534</v>
      </c>
      <c r="M109" t="s">
        <v>24</v>
      </c>
      <c r="O109">
        <f t="shared" si="14"/>
        <v>0</v>
      </c>
    </row>
    <row r="110" spans="1:15" x14ac:dyDescent="0.25">
      <c r="A110">
        <v>10</v>
      </c>
      <c r="B110" t="s">
        <v>273</v>
      </c>
      <c r="C110">
        <v>1672</v>
      </c>
      <c r="D110">
        <v>287.11099999999999</v>
      </c>
      <c r="E110">
        <v>480050</v>
      </c>
      <c r="F110">
        <v>287</v>
      </c>
      <c r="G110">
        <v>480050</v>
      </c>
      <c r="H110">
        <v>208.01300000000001</v>
      </c>
      <c r="I110" t="s">
        <v>124</v>
      </c>
      <c r="K110" t="s">
        <v>163</v>
      </c>
      <c r="L110">
        <f t="shared" si="12"/>
        <v>42.022828282828286</v>
      </c>
      <c r="M110" t="s">
        <v>24</v>
      </c>
      <c r="O110">
        <f t="shared" si="14"/>
        <v>0</v>
      </c>
    </row>
    <row r="111" spans="1:15" x14ac:dyDescent="0.25">
      <c r="A111">
        <v>11</v>
      </c>
      <c r="B111" t="s">
        <v>274</v>
      </c>
      <c r="C111">
        <v>1640</v>
      </c>
      <c r="D111">
        <v>287.09399999999999</v>
      </c>
      <c r="E111">
        <v>470834</v>
      </c>
      <c r="F111">
        <v>287</v>
      </c>
      <c r="G111">
        <v>470834</v>
      </c>
      <c r="H111">
        <v>205.62200000000001</v>
      </c>
      <c r="I111" t="s">
        <v>124</v>
      </c>
      <c r="K111" t="s">
        <v>163</v>
      </c>
      <c r="L111">
        <f t="shared" si="12"/>
        <v>41.539797979797981</v>
      </c>
      <c r="M111" t="s">
        <v>24</v>
      </c>
      <c r="O111">
        <f t="shared" si="14"/>
        <v>0</v>
      </c>
    </row>
    <row r="112" spans="1:15" x14ac:dyDescent="0.25">
      <c r="A112">
        <v>1</v>
      </c>
      <c r="B112" t="s">
        <v>275</v>
      </c>
      <c r="C112">
        <v>1539</v>
      </c>
      <c r="D112">
        <v>345.767</v>
      </c>
      <c r="E112">
        <v>532135</v>
      </c>
      <c r="F112">
        <v>320</v>
      </c>
      <c r="G112">
        <v>532135</v>
      </c>
      <c r="H112">
        <v>191.37899999999999</v>
      </c>
      <c r="I112" t="s">
        <v>109</v>
      </c>
      <c r="J112" t="s">
        <v>27</v>
      </c>
      <c r="K112" t="s">
        <v>163</v>
      </c>
      <c r="L112">
        <f t="shared" si="12"/>
        <v>38.662424242424237</v>
      </c>
      <c r="M112" t="s">
        <v>25</v>
      </c>
      <c r="N112">
        <f>G112-(((G$120/C$120*C112)+(G$121/C$121*C112)+(G$122/C$122*C112))/3)</f>
        <v>91125.356196743669</v>
      </c>
      <c r="O112">
        <f t="shared" si="14"/>
        <v>2356.948845870661</v>
      </c>
    </row>
    <row r="113" spans="1:15" x14ac:dyDescent="0.25">
      <c r="A113">
        <v>2</v>
      </c>
      <c r="B113" t="s">
        <v>276</v>
      </c>
      <c r="C113">
        <v>1916</v>
      </c>
      <c r="D113">
        <v>394.53399999999999</v>
      </c>
      <c r="E113">
        <v>755927</v>
      </c>
      <c r="F113">
        <v>346</v>
      </c>
      <c r="G113">
        <v>755927</v>
      </c>
      <c r="H113">
        <v>238.827</v>
      </c>
      <c r="I113" t="s">
        <v>110</v>
      </c>
      <c r="J113" t="s">
        <v>27</v>
      </c>
      <c r="K113" t="s">
        <v>163</v>
      </c>
      <c r="L113">
        <f t="shared" si="12"/>
        <v>48.247878787878783</v>
      </c>
      <c r="M113" t="s">
        <v>25</v>
      </c>
      <c r="N113">
        <f t="shared" ref="N113:N119" si="18">G113-(((G$120/C$120*C113)+(G$121/C$121*C113)+(G$122/C$122*C113))/3)</f>
        <v>206885.75404350937</v>
      </c>
      <c r="O113">
        <f t="shared" si="14"/>
        <v>4287.9761606324728</v>
      </c>
    </row>
    <row r="114" spans="1:15" x14ac:dyDescent="0.25">
      <c r="A114">
        <v>3</v>
      </c>
      <c r="B114" t="s">
        <v>277</v>
      </c>
      <c r="C114">
        <v>1757</v>
      </c>
      <c r="D114">
        <v>344.82100000000003</v>
      </c>
      <c r="E114">
        <v>605850</v>
      </c>
      <c r="F114">
        <v>328</v>
      </c>
      <c r="G114">
        <v>605850</v>
      </c>
      <c r="H114">
        <v>218.65899999999999</v>
      </c>
      <c r="I114" t="s">
        <v>111</v>
      </c>
      <c r="J114" t="s">
        <v>27</v>
      </c>
      <c r="K114" t="s">
        <v>163</v>
      </c>
      <c r="L114">
        <f t="shared" si="12"/>
        <v>44.17353535353535</v>
      </c>
      <c r="M114" t="s">
        <v>25</v>
      </c>
      <c r="N114">
        <f t="shared" si="18"/>
        <v>102371.15389062936</v>
      </c>
      <c r="O114">
        <f t="shared" si="14"/>
        <v>2317.4770384873955</v>
      </c>
    </row>
    <row r="115" spans="1:15" x14ac:dyDescent="0.25">
      <c r="A115">
        <v>4</v>
      </c>
      <c r="B115" t="s">
        <v>278</v>
      </c>
      <c r="C115">
        <v>1816</v>
      </c>
      <c r="D115">
        <v>361.291</v>
      </c>
      <c r="E115">
        <v>656104</v>
      </c>
      <c r="F115">
        <v>339</v>
      </c>
      <c r="G115">
        <v>656104</v>
      </c>
      <c r="H115">
        <v>226.101</v>
      </c>
      <c r="I115" t="s">
        <v>112</v>
      </c>
      <c r="J115" t="s">
        <v>27</v>
      </c>
      <c r="K115" t="s">
        <v>163</v>
      </c>
      <c r="L115">
        <f t="shared" si="12"/>
        <v>45.676969696969692</v>
      </c>
      <c r="M115" t="s">
        <v>25</v>
      </c>
      <c r="N115">
        <f t="shared" si="18"/>
        <v>135718.35143163521</v>
      </c>
      <c r="O115">
        <f t="shared" si="14"/>
        <v>2971.2643446362217</v>
      </c>
    </row>
    <row r="116" spans="1:15" x14ac:dyDescent="0.25">
      <c r="A116">
        <v>5</v>
      </c>
      <c r="B116" t="s">
        <v>279</v>
      </c>
      <c r="C116">
        <v>1727</v>
      </c>
      <c r="D116">
        <v>375.69799999999998</v>
      </c>
      <c r="E116">
        <v>648831</v>
      </c>
      <c r="F116">
        <v>349</v>
      </c>
      <c r="G116">
        <v>648831</v>
      </c>
      <c r="H116">
        <v>216.00299999999999</v>
      </c>
      <c r="I116" t="s">
        <v>113</v>
      </c>
      <c r="J116" t="s">
        <v>27</v>
      </c>
      <c r="K116" t="s">
        <v>163</v>
      </c>
      <c r="L116">
        <f t="shared" si="12"/>
        <v>43.636969696969693</v>
      </c>
      <c r="M116" t="s">
        <v>25</v>
      </c>
      <c r="N116">
        <f t="shared" si="18"/>
        <v>153948.8331070671</v>
      </c>
      <c r="O116">
        <f t="shared" si="14"/>
        <v>3527.9450927995545</v>
      </c>
    </row>
    <row r="117" spans="1:15" x14ac:dyDescent="0.25">
      <c r="A117">
        <v>6</v>
      </c>
      <c r="B117" t="s">
        <v>280</v>
      </c>
      <c r="C117">
        <v>1689</v>
      </c>
      <c r="D117">
        <v>354.60700000000003</v>
      </c>
      <c r="E117">
        <v>598932</v>
      </c>
      <c r="F117">
        <v>328</v>
      </c>
      <c r="G117">
        <v>598932</v>
      </c>
      <c r="H117">
        <v>209.52199999999999</v>
      </c>
      <c r="I117" t="s">
        <v>114</v>
      </c>
      <c r="J117" t="s">
        <v>27</v>
      </c>
      <c r="K117" t="s">
        <v>163</v>
      </c>
      <c r="L117">
        <f t="shared" si="12"/>
        <v>42.327676767676763</v>
      </c>
      <c r="M117" t="s">
        <v>25</v>
      </c>
      <c r="N117">
        <f t="shared" si="18"/>
        <v>114938.96011455497</v>
      </c>
      <c r="O117">
        <f t="shared" si="14"/>
        <v>2715.4563843751357</v>
      </c>
    </row>
    <row r="118" spans="1:15" x14ac:dyDescent="0.25">
      <c r="A118">
        <v>7</v>
      </c>
      <c r="B118" t="s">
        <v>281</v>
      </c>
      <c r="C118">
        <v>1701</v>
      </c>
      <c r="D118">
        <v>381.55</v>
      </c>
      <c r="E118">
        <v>649016</v>
      </c>
      <c r="F118">
        <v>349</v>
      </c>
      <c r="G118">
        <v>649016</v>
      </c>
      <c r="H118">
        <v>211.84</v>
      </c>
      <c r="I118" t="s">
        <v>51</v>
      </c>
      <c r="J118" t="s">
        <v>27</v>
      </c>
      <c r="K118" t="s">
        <v>163</v>
      </c>
      <c r="L118">
        <f t="shared" si="12"/>
        <v>42.795959595959594</v>
      </c>
      <c r="M118" t="s">
        <v>25</v>
      </c>
      <c r="N118">
        <f t="shared" si="18"/>
        <v>161584.28842797986</v>
      </c>
      <c r="O118">
        <f t="shared" si="14"/>
        <v>3775.6902743509268</v>
      </c>
    </row>
    <row r="119" spans="1:15" x14ac:dyDescent="0.25">
      <c r="A119">
        <v>8</v>
      </c>
      <c r="B119" t="s">
        <v>282</v>
      </c>
      <c r="C119">
        <v>2135</v>
      </c>
      <c r="D119">
        <v>364.83600000000001</v>
      </c>
      <c r="E119">
        <v>778925</v>
      </c>
      <c r="F119">
        <v>333</v>
      </c>
      <c r="G119">
        <v>778925</v>
      </c>
      <c r="H119">
        <v>265.69099999999997</v>
      </c>
      <c r="I119" t="s">
        <v>115</v>
      </c>
      <c r="J119" t="s">
        <v>27</v>
      </c>
      <c r="K119" t="s">
        <v>163</v>
      </c>
      <c r="L119">
        <f t="shared" si="12"/>
        <v>53.674949494949487</v>
      </c>
      <c r="M119" t="s">
        <v>25</v>
      </c>
      <c r="N119">
        <f t="shared" si="18"/>
        <v>167127.99576351384</v>
      </c>
      <c r="O119">
        <f t="shared" si="14"/>
        <v>3113.7056920610544</v>
      </c>
    </row>
    <row r="120" spans="1:15" x14ac:dyDescent="0.25">
      <c r="A120">
        <v>9</v>
      </c>
      <c r="B120" t="s">
        <v>283</v>
      </c>
      <c r="C120">
        <v>1611</v>
      </c>
      <c r="D120">
        <v>286.46899999999999</v>
      </c>
      <c r="E120">
        <v>461502</v>
      </c>
      <c r="F120">
        <v>286</v>
      </c>
      <c r="G120">
        <v>461502</v>
      </c>
      <c r="H120">
        <v>200.76499999999999</v>
      </c>
      <c r="I120" t="s">
        <v>124</v>
      </c>
      <c r="K120" t="s">
        <v>163</v>
      </c>
      <c r="L120">
        <f t="shared" si="12"/>
        <v>40.558585858585857</v>
      </c>
      <c r="M120" t="s">
        <v>25</v>
      </c>
      <c r="O120">
        <f t="shared" si="14"/>
        <v>0</v>
      </c>
    </row>
    <row r="121" spans="1:15" x14ac:dyDescent="0.25">
      <c r="A121">
        <v>10</v>
      </c>
      <c r="B121" t="s">
        <v>284</v>
      </c>
      <c r="C121">
        <v>1649</v>
      </c>
      <c r="D121">
        <v>286.62799999999999</v>
      </c>
      <c r="E121">
        <v>472650</v>
      </c>
      <c r="F121">
        <v>287</v>
      </c>
      <c r="G121">
        <v>472650</v>
      </c>
      <c r="H121">
        <v>204.899</v>
      </c>
      <c r="I121" t="s">
        <v>124</v>
      </c>
      <c r="K121" t="s">
        <v>163</v>
      </c>
      <c r="L121">
        <f t="shared" si="12"/>
        <v>41.393737373737373</v>
      </c>
      <c r="M121" t="s">
        <v>25</v>
      </c>
      <c r="O121">
        <f t="shared" si="14"/>
        <v>0</v>
      </c>
    </row>
    <row r="122" spans="1:15" x14ac:dyDescent="0.25">
      <c r="A122">
        <v>11</v>
      </c>
      <c r="B122" t="s">
        <v>285</v>
      </c>
      <c r="C122">
        <v>1648</v>
      </c>
      <c r="D122">
        <v>286.57</v>
      </c>
      <c r="E122">
        <v>472268</v>
      </c>
      <c r="F122">
        <v>287</v>
      </c>
      <c r="G122">
        <v>472268</v>
      </c>
      <c r="H122">
        <v>205.155</v>
      </c>
      <c r="I122" t="s">
        <v>124</v>
      </c>
      <c r="K122" t="s">
        <v>163</v>
      </c>
      <c r="L122">
        <f t="shared" si="12"/>
        <v>41.445454545454545</v>
      </c>
      <c r="M122" t="s">
        <v>25</v>
      </c>
      <c r="O122">
        <f t="shared" si="14"/>
        <v>0</v>
      </c>
    </row>
    <row r="123" spans="1:15" x14ac:dyDescent="0.25">
      <c r="A123">
        <v>1</v>
      </c>
      <c r="B123" t="s">
        <v>286</v>
      </c>
      <c r="C123">
        <v>1651</v>
      </c>
      <c r="D123">
        <v>338.68200000000002</v>
      </c>
      <c r="E123">
        <v>559164</v>
      </c>
      <c r="F123">
        <v>313</v>
      </c>
      <c r="G123">
        <v>559164</v>
      </c>
      <c r="H123">
        <v>205.81700000000001</v>
      </c>
      <c r="I123" t="s">
        <v>116</v>
      </c>
      <c r="J123" t="s">
        <v>27</v>
      </c>
      <c r="K123" t="s">
        <v>163</v>
      </c>
      <c r="L123">
        <f t="shared" si="12"/>
        <v>41.579191919191921</v>
      </c>
      <c r="M123" t="s">
        <v>26</v>
      </c>
      <c r="N123">
        <f t="shared" ref="N123:N130" si="19">G123-(((G$131/C$131*C123)+(G$132/C$132*C123)+(G$133/C$133*C123))/3)</f>
        <v>85748.865162296512</v>
      </c>
      <c r="O123">
        <f t="shared" si="14"/>
        <v>2062.302348947695</v>
      </c>
    </row>
    <row r="124" spans="1:15" x14ac:dyDescent="0.25">
      <c r="A124">
        <v>2</v>
      </c>
      <c r="B124" t="s">
        <v>287</v>
      </c>
      <c r="C124">
        <v>1931</v>
      </c>
      <c r="D124">
        <v>341.46100000000001</v>
      </c>
      <c r="E124">
        <v>659362</v>
      </c>
      <c r="F124">
        <v>316</v>
      </c>
      <c r="G124">
        <v>659362</v>
      </c>
      <c r="H124">
        <v>240.07300000000001</v>
      </c>
      <c r="I124" t="s">
        <v>117</v>
      </c>
      <c r="J124" t="s">
        <v>27</v>
      </c>
      <c r="K124" t="s">
        <v>163</v>
      </c>
      <c r="L124">
        <f t="shared" si="12"/>
        <v>48.499595959595958</v>
      </c>
      <c r="M124" t="s">
        <v>26</v>
      </c>
      <c r="N124">
        <f t="shared" si="19"/>
        <v>105658.41104082041</v>
      </c>
      <c r="O124">
        <f t="shared" si="14"/>
        <v>2178.5420878318723</v>
      </c>
    </row>
    <row r="125" spans="1:15" x14ac:dyDescent="0.25">
      <c r="A125">
        <v>3</v>
      </c>
      <c r="B125" t="s">
        <v>288</v>
      </c>
      <c r="C125">
        <v>2115</v>
      </c>
      <c r="D125">
        <v>402.29599999999999</v>
      </c>
      <c r="E125">
        <v>850856</v>
      </c>
      <c r="F125">
        <v>364</v>
      </c>
      <c r="G125">
        <v>850856</v>
      </c>
      <c r="H125">
        <v>264.61099999999999</v>
      </c>
      <c r="I125" t="s">
        <v>118</v>
      </c>
      <c r="J125" t="s">
        <v>27</v>
      </c>
      <c r="K125" t="s">
        <v>163</v>
      </c>
      <c r="L125">
        <f t="shared" si="12"/>
        <v>53.456767676767676</v>
      </c>
      <c r="M125" t="s">
        <v>26</v>
      </c>
      <c r="N125">
        <f t="shared" si="19"/>
        <v>244391.42690385052</v>
      </c>
      <c r="O125">
        <f t="shared" si="14"/>
        <v>4571.7584045034409</v>
      </c>
    </row>
    <row r="126" spans="1:15" x14ac:dyDescent="0.25">
      <c r="A126">
        <v>4</v>
      </c>
      <c r="B126" t="s">
        <v>289</v>
      </c>
      <c r="C126">
        <v>1869</v>
      </c>
      <c r="D126">
        <v>377.32900000000001</v>
      </c>
      <c r="E126">
        <v>705228</v>
      </c>
      <c r="F126">
        <v>346</v>
      </c>
      <c r="G126">
        <v>705228</v>
      </c>
      <c r="H126">
        <v>233.917</v>
      </c>
      <c r="I126" t="s">
        <v>119</v>
      </c>
      <c r="J126" t="s">
        <v>27</v>
      </c>
      <c r="K126" t="s">
        <v>163</v>
      </c>
      <c r="L126">
        <f t="shared" si="12"/>
        <v>47.255959595959595</v>
      </c>
      <c r="M126" t="s">
        <v>26</v>
      </c>
      <c r="N126">
        <f t="shared" si="19"/>
        <v>169302.56873914739</v>
      </c>
      <c r="O126">
        <f t="shared" si="14"/>
        <v>3582.6712691201565</v>
      </c>
    </row>
    <row r="127" spans="1:15" x14ac:dyDescent="0.25">
      <c r="A127">
        <v>5</v>
      </c>
      <c r="B127" t="s">
        <v>290</v>
      </c>
      <c r="C127">
        <v>1498</v>
      </c>
      <c r="D127">
        <v>359.94600000000003</v>
      </c>
      <c r="E127">
        <v>539199</v>
      </c>
      <c r="F127">
        <v>335</v>
      </c>
      <c r="G127">
        <v>539199</v>
      </c>
      <c r="H127">
        <v>186.46199999999999</v>
      </c>
      <c r="I127" t="s">
        <v>120</v>
      </c>
      <c r="J127" t="s">
        <v>27</v>
      </c>
      <c r="K127" t="s">
        <v>163</v>
      </c>
      <c r="L127">
        <f t="shared" si="12"/>
        <v>37.669090909090905</v>
      </c>
      <c r="M127" t="s">
        <v>26</v>
      </c>
      <c r="N127">
        <f t="shared" si="19"/>
        <v>109655.7704501031</v>
      </c>
      <c r="O127">
        <f t="shared" si="14"/>
        <v>2911.0277897266487</v>
      </c>
    </row>
    <row r="128" spans="1:15" x14ac:dyDescent="0.25">
      <c r="A128">
        <v>6</v>
      </c>
      <c r="B128" t="s">
        <v>291</v>
      </c>
      <c r="C128">
        <v>2049</v>
      </c>
      <c r="D128">
        <v>390.423</v>
      </c>
      <c r="E128">
        <v>799976</v>
      </c>
      <c r="F128">
        <v>358</v>
      </c>
      <c r="G128">
        <v>799976</v>
      </c>
      <c r="H128">
        <v>254.767</v>
      </c>
      <c r="I128" t="s">
        <v>121</v>
      </c>
      <c r="J128" t="s">
        <v>27</v>
      </c>
      <c r="K128" t="s">
        <v>163</v>
      </c>
      <c r="L128">
        <f t="shared" si="12"/>
        <v>51.468080808080806</v>
      </c>
      <c r="M128" t="s">
        <v>26</v>
      </c>
      <c r="N128">
        <f t="shared" si="19"/>
        <v>212436.56251819839</v>
      </c>
      <c r="O128">
        <f t="shared" si="14"/>
        <v>4127.5400050441467</v>
      </c>
    </row>
    <row r="129" spans="1:15" x14ac:dyDescent="0.25">
      <c r="A129">
        <v>7</v>
      </c>
      <c r="B129" t="s">
        <v>292</v>
      </c>
      <c r="C129">
        <v>1757</v>
      </c>
      <c r="D129">
        <v>355.899</v>
      </c>
      <c r="E129">
        <v>625315</v>
      </c>
      <c r="F129">
        <v>328</v>
      </c>
      <c r="G129">
        <v>625315</v>
      </c>
      <c r="H129">
        <v>218.2</v>
      </c>
      <c r="I129" t="s">
        <v>122</v>
      </c>
      <c r="J129" t="s">
        <v>27</v>
      </c>
      <c r="K129" t="s">
        <v>163</v>
      </c>
      <c r="L129">
        <f t="shared" si="12"/>
        <v>44.080808080808076</v>
      </c>
      <c r="M129" t="s">
        <v>26</v>
      </c>
      <c r="N129">
        <f t="shared" si="19"/>
        <v>121504.95038773771</v>
      </c>
      <c r="O129">
        <f t="shared" si="14"/>
        <v>2756.413860766736</v>
      </c>
    </row>
    <row r="130" spans="1:15" x14ac:dyDescent="0.25">
      <c r="A130">
        <v>8</v>
      </c>
      <c r="B130" t="s">
        <v>293</v>
      </c>
      <c r="C130">
        <v>1971</v>
      </c>
      <c r="D130">
        <v>365.93</v>
      </c>
      <c r="E130">
        <v>721249</v>
      </c>
      <c r="F130">
        <v>336</v>
      </c>
      <c r="G130">
        <v>721249</v>
      </c>
      <c r="H130">
        <v>246.37200000000001</v>
      </c>
      <c r="I130" t="s">
        <v>123</v>
      </c>
      <c r="J130" t="s">
        <v>27</v>
      </c>
      <c r="K130" t="s">
        <v>163</v>
      </c>
      <c r="L130">
        <f t="shared" ref="L130:L177" si="20">H130/4.95</f>
        <v>49.772121212121213</v>
      </c>
      <c r="M130" t="s">
        <v>26</v>
      </c>
      <c r="N130">
        <f t="shared" si="19"/>
        <v>156075.63188060967</v>
      </c>
      <c r="O130">
        <f t="shared" si="14"/>
        <v>3135.8043032853484</v>
      </c>
    </row>
    <row r="131" spans="1:15" x14ac:dyDescent="0.25">
      <c r="A131">
        <v>9</v>
      </c>
      <c r="B131" t="s">
        <v>294</v>
      </c>
      <c r="C131">
        <v>1744</v>
      </c>
      <c r="D131">
        <v>286.49200000000002</v>
      </c>
      <c r="E131">
        <v>499642</v>
      </c>
      <c r="F131">
        <v>287</v>
      </c>
      <c r="G131">
        <v>499642</v>
      </c>
      <c r="H131">
        <v>216.72200000000001</v>
      </c>
      <c r="I131" t="s">
        <v>124</v>
      </c>
      <c r="K131" t="s">
        <v>163</v>
      </c>
      <c r="L131">
        <f t="shared" si="20"/>
        <v>43.782222222222224</v>
      </c>
      <c r="M131" t="s">
        <v>26</v>
      </c>
      <c r="O131">
        <f t="shared" si="14"/>
        <v>0</v>
      </c>
    </row>
    <row r="132" spans="1:15" x14ac:dyDescent="0.25">
      <c r="A132">
        <v>10</v>
      </c>
      <c r="B132" t="s">
        <v>295</v>
      </c>
      <c r="C132">
        <v>1862</v>
      </c>
      <c r="D132">
        <v>286.86500000000001</v>
      </c>
      <c r="E132">
        <v>534142</v>
      </c>
      <c r="F132">
        <v>287</v>
      </c>
      <c r="G132">
        <v>534142</v>
      </c>
      <c r="H132">
        <v>231.35599999999999</v>
      </c>
      <c r="I132" t="s">
        <v>124</v>
      </c>
      <c r="K132" t="s">
        <v>163</v>
      </c>
      <c r="L132">
        <f t="shared" si="20"/>
        <v>46.738585858585857</v>
      </c>
      <c r="M132" t="s">
        <v>26</v>
      </c>
      <c r="O132">
        <f t="shared" si="14"/>
        <v>0</v>
      </c>
    </row>
    <row r="133" spans="1:15" x14ac:dyDescent="0.25">
      <c r="A133">
        <v>11</v>
      </c>
      <c r="B133" t="s">
        <v>296</v>
      </c>
      <c r="C133">
        <v>1664</v>
      </c>
      <c r="D133">
        <v>286.87700000000001</v>
      </c>
      <c r="E133">
        <v>477363</v>
      </c>
      <c r="F133">
        <v>287</v>
      </c>
      <c r="G133">
        <v>477363</v>
      </c>
      <c r="H133">
        <v>207.00200000000001</v>
      </c>
      <c r="I133" t="s">
        <v>124</v>
      </c>
      <c r="K133" t="s">
        <v>163</v>
      </c>
      <c r="L133">
        <f t="shared" si="20"/>
        <v>41.818585858585863</v>
      </c>
      <c r="M133" t="s">
        <v>26</v>
      </c>
      <c r="O133">
        <f t="shared" si="14"/>
        <v>0</v>
      </c>
    </row>
    <row r="134" spans="1:15" x14ac:dyDescent="0.25">
      <c r="A134">
        <v>1</v>
      </c>
      <c r="B134" t="s">
        <v>297</v>
      </c>
      <c r="C134">
        <v>1866</v>
      </c>
      <c r="D134">
        <v>311.47800000000001</v>
      </c>
      <c r="E134">
        <v>581218</v>
      </c>
      <c r="F134">
        <v>294</v>
      </c>
      <c r="G134">
        <v>581218</v>
      </c>
      <c r="H134">
        <v>232.03399999999999</v>
      </c>
      <c r="I134" t="s">
        <v>125</v>
      </c>
      <c r="J134" t="s">
        <v>27</v>
      </c>
      <c r="K134" t="s">
        <v>164</v>
      </c>
      <c r="L134">
        <f t="shared" si="20"/>
        <v>46.87555555555555</v>
      </c>
      <c r="M134" t="s">
        <v>126</v>
      </c>
      <c r="N134">
        <f>G134-(((G$142/C$142*C134)+(G$143/C$143*C134)+(G$144/C$144*C134))/3)</f>
        <v>47969.087299985695</v>
      </c>
      <c r="O134">
        <f>N134/L134</f>
        <v>1023.3284007297603</v>
      </c>
    </row>
    <row r="135" spans="1:15" x14ac:dyDescent="0.25">
      <c r="A135">
        <v>2</v>
      </c>
      <c r="B135" t="s">
        <v>298</v>
      </c>
      <c r="C135">
        <v>1754</v>
      </c>
      <c r="D135">
        <v>324.38200000000001</v>
      </c>
      <c r="E135">
        <v>568966</v>
      </c>
      <c r="F135">
        <v>301</v>
      </c>
      <c r="G135">
        <v>568966</v>
      </c>
      <c r="H135">
        <v>218.851</v>
      </c>
      <c r="I135" t="s">
        <v>127</v>
      </c>
      <c r="J135" t="s">
        <v>27</v>
      </c>
      <c r="K135" t="s">
        <v>164</v>
      </c>
      <c r="L135">
        <f t="shared" si="20"/>
        <v>44.212323232323229</v>
      </c>
      <c r="M135" t="s">
        <v>126</v>
      </c>
      <c r="N135">
        <f>G135-(((G$142/C$142*C135)+(G$143/C$143*C135)+(G$144/C$144*C135))/3)</f>
        <v>67723.452906846069</v>
      </c>
      <c r="O135">
        <f>N135/L135</f>
        <v>1531.7777478233504</v>
      </c>
    </row>
    <row r="136" spans="1:15" x14ac:dyDescent="0.25">
      <c r="A136">
        <v>3</v>
      </c>
      <c r="B136" t="s">
        <v>299</v>
      </c>
      <c r="C136">
        <v>1855</v>
      </c>
      <c r="D136">
        <v>330.48200000000003</v>
      </c>
      <c r="E136">
        <v>613045</v>
      </c>
      <c r="F136">
        <v>306</v>
      </c>
      <c r="G136">
        <v>613045</v>
      </c>
      <c r="H136">
        <v>230.84100000000001</v>
      </c>
      <c r="I136" t="s">
        <v>128</v>
      </c>
      <c r="J136" t="s">
        <v>27</v>
      </c>
      <c r="K136" t="s">
        <v>164</v>
      </c>
      <c r="L136">
        <f t="shared" si="20"/>
        <v>46.634545454545453</v>
      </c>
      <c r="M136" t="s">
        <v>126</v>
      </c>
      <c r="N136">
        <f t="shared" ref="N136:N141" si="21">G136-(((G$142/C$142*C136)+(G$143/C$143*C136)+(G$144/C$144*C136))/3)</f>
        <v>82939.569636373781</v>
      </c>
      <c r="O136">
        <f t="shared" si="14"/>
        <v>1778.5006549965137</v>
      </c>
    </row>
    <row r="137" spans="1:15" x14ac:dyDescent="0.25">
      <c r="A137">
        <v>4</v>
      </c>
      <c r="B137" t="s">
        <v>300</v>
      </c>
      <c r="C137">
        <v>1719</v>
      </c>
      <c r="D137">
        <v>341.86500000000001</v>
      </c>
      <c r="E137">
        <v>587666</v>
      </c>
      <c r="F137">
        <v>317</v>
      </c>
      <c r="G137">
        <v>587666</v>
      </c>
      <c r="H137">
        <v>213.44900000000001</v>
      </c>
      <c r="I137" t="s">
        <v>129</v>
      </c>
      <c r="J137" t="s">
        <v>27</v>
      </c>
      <c r="K137" t="s">
        <v>164</v>
      </c>
      <c r="L137">
        <f t="shared" si="20"/>
        <v>43.1210101010101</v>
      </c>
      <c r="M137" t="s">
        <v>126</v>
      </c>
      <c r="N137">
        <f t="shared" si="21"/>
        <v>96425.442158990016</v>
      </c>
      <c r="O137">
        <f t="shared" si="14"/>
        <v>2236.1591700453064</v>
      </c>
    </row>
    <row r="138" spans="1:15" x14ac:dyDescent="0.25">
      <c r="A138">
        <v>5</v>
      </c>
      <c r="B138" t="s">
        <v>301</v>
      </c>
      <c r="C138">
        <v>2143</v>
      </c>
      <c r="D138">
        <v>353.78500000000003</v>
      </c>
      <c r="E138">
        <v>758162</v>
      </c>
      <c r="F138">
        <v>320</v>
      </c>
      <c r="G138">
        <v>758162</v>
      </c>
      <c r="H138">
        <v>268.12599999999998</v>
      </c>
      <c r="I138" t="s">
        <v>159</v>
      </c>
      <c r="J138" t="s">
        <v>27</v>
      </c>
      <c r="K138" t="s">
        <v>164</v>
      </c>
      <c r="L138">
        <f t="shared" si="20"/>
        <v>54.166868686868682</v>
      </c>
      <c r="M138" t="s">
        <v>126</v>
      </c>
      <c r="N138">
        <f t="shared" si="21"/>
        <v>145754.48664730403</v>
      </c>
      <c r="O138">
        <f t="shared" si="14"/>
        <v>2690.8420254065441</v>
      </c>
    </row>
    <row r="139" spans="1:15" x14ac:dyDescent="0.25">
      <c r="A139">
        <v>6</v>
      </c>
      <c r="B139" t="s">
        <v>302</v>
      </c>
      <c r="C139">
        <v>1894</v>
      </c>
      <c r="D139">
        <v>339.23700000000002</v>
      </c>
      <c r="E139">
        <v>642514</v>
      </c>
      <c r="F139">
        <v>310</v>
      </c>
      <c r="G139">
        <v>642514</v>
      </c>
      <c r="H139">
        <v>237.53100000000001</v>
      </c>
      <c r="I139" t="s">
        <v>130</v>
      </c>
      <c r="J139" t="s">
        <v>27</v>
      </c>
      <c r="K139" t="s">
        <v>164</v>
      </c>
      <c r="L139">
        <f t="shared" si="20"/>
        <v>47.986060606060605</v>
      </c>
      <c r="M139" t="s">
        <v>126</v>
      </c>
      <c r="N139">
        <f t="shared" si="21"/>
        <v>101263.49589827051</v>
      </c>
      <c r="O139">
        <f t="shared" si="14"/>
        <v>2110.2689951898451</v>
      </c>
    </row>
    <row r="140" spans="1:15" x14ac:dyDescent="0.25">
      <c r="A140">
        <v>7</v>
      </c>
      <c r="B140" t="s">
        <v>303</v>
      </c>
      <c r="C140">
        <v>1861</v>
      </c>
      <c r="D140">
        <v>334.505</v>
      </c>
      <c r="E140">
        <v>622514</v>
      </c>
      <c r="F140">
        <v>310</v>
      </c>
      <c r="G140">
        <v>622514</v>
      </c>
      <c r="H140">
        <v>231.33699999999999</v>
      </c>
      <c r="I140" t="s">
        <v>131</v>
      </c>
      <c r="J140" t="s">
        <v>27</v>
      </c>
      <c r="K140" t="s">
        <v>164</v>
      </c>
      <c r="L140">
        <f t="shared" si="20"/>
        <v>46.734747474747472</v>
      </c>
      <c r="M140" t="s">
        <v>126</v>
      </c>
      <c r="N140">
        <f t="shared" si="21"/>
        <v>90693.942907434772</v>
      </c>
      <c r="O140">
        <f t="shared" si="14"/>
        <v>1940.6105265988672</v>
      </c>
    </row>
    <row r="141" spans="1:15" x14ac:dyDescent="0.25">
      <c r="A141">
        <v>8</v>
      </c>
      <c r="B141" t="s">
        <v>304</v>
      </c>
      <c r="C141">
        <v>1898</v>
      </c>
      <c r="D141">
        <v>344.096</v>
      </c>
      <c r="E141">
        <v>653094</v>
      </c>
      <c r="F141">
        <v>314</v>
      </c>
      <c r="G141">
        <v>653094</v>
      </c>
      <c r="H141">
        <v>237.035</v>
      </c>
      <c r="I141" t="s">
        <v>132</v>
      </c>
      <c r="J141" t="s">
        <v>27</v>
      </c>
      <c r="K141" t="s">
        <v>164</v>
      </c>
      <c r="L141">
        <f t="shared" si="20"/>
        <v>47.885858585858585</v>
      </c>
      <c r="M141" t="s">
        <v>126</v>
      </c>
      <c r="N141">
        <f t="shared" si="21"/>
        <v>110700.41141231114</v>
      </c>
      <c r="O141">
        <f t="shared" ref="O141:O177" si="22">N141/L141</f>
        <v>2311.7558018475756</v>
      </c>
    </row>
    <row r="142" spans="1:15" x14ac:dyDescent="0.25">
      <c r="A142">
        <v>9</v>
      </c>
      <c r="B142" t="s">
        <v>305</v>
      </c>
      <c r="C142">
        <v>1519</v>
      </c>
      <c r="D142">
        <v>285.70400000000001</v>
      </c>
      <c r="E142">
        <v>433984</v>
      </c>
      <c r="F142">
        <v>286</v>
      </c>
      <c r="G142">
        <v>433984</v>
      </c>
      <c r="H142">
        <v>189.29</v>
      </c>
      <c r="I142" t="s">
        <v>124</v>
      </c>
      <c r="K142" t="s">
        <v>164</v>
      </c>
      <c r="L142">
        <f t="shared" si="20"/>
        <v>38.240404040404037</v>
      </c>
      <c r="M142" t="s">
        <v>126</v>
      </c>
      <c r="O142">
        <f t="shared" si="22"/>
        <v>0</v>
      </c>
    </row>
    <row r="143" spans="1:15" x14ac:dyDescent="0.25">
      <c r="A143">
        <v>10</v>
      </c>
      <c r="B143" t="s">
        <v>306</v>
      </c>
      <c r="C143">
        <v>1602</v>
      </c>
      <c r="D143">
        <v>285.83300000000003</v>
      </c>
      <c r="E143">
        <v>457904</v>
      </c>
      <c r="F143">
        <v>286</v>
      </c>
      <c r="G143">
        <v>457904</v>
      </c>
      <c r="H143">
        <v>199.196</v>
      </c>
      <c r="I143" t="s">
        <v>124</v>
      </c>
      <c r="K143" t="s">
        <v>164</v>
      </c>
      <c r="L143">
        <f t="shared" si="20"/>
        <v>40.241616161616157</v>
      </c>
      <c r="M143" t="s">
        <v>126</v>
      </c>
      <c r="O143">
        <f t="shared" si="22"/>
        <v>0</v>
      </c>
    </row>
    <row r="144" spans="1:15" x14ac:dyDescent="0.25">
      <c r="A144">
        <v>11</v>
      </c>
      <c r="B144" t="s">
        <v>307</v>
      </c>
      <c r="C144">
        <v>1524</v>
      </c>
      <c r="D144">
        <v>285.77699999999999</v>
      </c>
      <c r="E144">
        <v>435524</v>
      </c>
      <c r="F144">
        <v>286</v>
      </c>
      <c r="G144">
        <v>435524</v>
      </c>
      <c r="H144">
        <v>189.29499999999999</v>
      </c>
      <c r="I144" t="s">
        <v>124</v>
      </c>
      <c r="K144" t="s">
        <v>164</v>
      </c>
      <c r="L144">
        <f t="shared" si="20"/>
        <v>38.24141414141414</v>
      </c>
      <c r="M144" t="s">
        <v>126</v>
      </c>
      <c r="O144">
        <f t="shared" si="22"/>
        <v>0</v>
      </c>
    </row>
    <row r="145" spans="1:15" x14ac:dyDescent="0.25">
      <c r="A145">
        <v>1</v>
      </c>
      <c r="B145" t="s">
        <v>308</v>
      </c>
      <c r="C145">
        <v>1960</v>
      </c>
      <c r="D145">
        <v>318.36799999999999</v>
      </c>
      <c r="E145">
        <v>624001</v>
      </c>
      <c r="F145">
        <v>297</v>
      </c>
      <c r="G145">
        <v>624001</v>
      </c>
      <c r="H145">
        <v>245.07400000000001</v>
      </c>
      <c r="I145" t="s">
        <v>133</v>
      </c>
      <c r="J145" t="s">
        <v>27</v>
      </c>
      <c r="K145" t="s">
        <v>164</v>
      </c>
      <c r="L145">
        <f t="shared" si="20"/>
        <v>49.509898989898993</v>
      </c>
      <c r="M145" t="s">
        <v>134</v>
      </c>
      <c r="N145">
        <f>G145-(((G$153/C$153*C145)+(G$154/C$154*C145)+(G$155/C$155*C145))/3)</f>
        <v>64258.773172269459</v>
      </c>
      <c r="O145">
        <f t="shared" si="22"/>
        <v>1297.8974807720681</v>
      </c>
    </row>
    <row r="146" spans="1:15" x14ac:dyDescent="0.25">
      <c r="A146">
        <v>2</v>
      </c>
      <c r="B146" t="s">
        <v>309</v>
      </c>
      <c r="C146">
        <v>1775</v>
      </c>
      <c r="D146">
        <v>343.50299999999999</v>
      </c>
      <c r="E146">
        <v>609717</v>
      </c>
      <c r="F146">
        <v>314</v>
      </c>
      <c r="G146">
        <v>609717</v>
      </c>
      <c r="H146">
        <v>220.71199999999999</v>
      </c>
      <c r="I146" t="s">
        <v>160</v>
      </c>
      <c r="J146" t="s">
        <v>27</v>
      </c>
      <c r="K146" t="s">
        <v>164</v>
      </c>
      <c r="L146">
        <f t="shared" si="20"/>
        <v>44.588282828282821</v>
      </c>
      <c r="M146" t="s">
        <v>134</v>
      </c>
      <c r="N146">
        <f>G146-(((G$153/C$153*C146)+(G$154/C$154*C146)+(G$155/C$155*C146))/3)</f>
        <v>102807.58539835626</v>
      </c>
      <c r="O146">
        <f t="shared" si="22"/>
        <v>2305.7085601229819</v>
      </c>
    </row>
    <row r="147" spans="1:15" x14ac:dyDescent="0.25">
      <c r="A147">
        <v>3</v>
      </c>
      <c r="B147" t="s">
        <v>310</v>
      </c>
      <c r="C147">
        <v>2115</v>
      </c>
      <c r="D147">
        <v>321.27</v>
      </c>
      <c r="E147">
        <v>679485</v>
      </c>
      <c r="F147">
        <v>300</v>
      </c>
      <c r="G147">
        <v>679485</v>
      </c>
      <c r="H147">
        <v>265.45800000000003</v>
      </c>
      <c r="I147" t="s">
        <v>135</v>
      </c>
      <c r="J147" t="s">
        <v>27</v>
      </c>
      <c r="K147" t="s">
        <v>164</v>
      </c>
      <c r="L147">
        <f t="shared" si="20"/>
        <v>53.627878787878792</v>
      </c>
      <c r="M147" t="s">
        <v>134</v>
      </c>
      <c r="N147">
        <f>G147-(((G$153/C$153*C147)+(G$154/C$154*C147)+(G$155/C$155*C147))/3)</f>
        <v>75477.444009872503</v>
      </c>
      <c r="O147">
        <f t="shared" si="22"/>
        <v>1407.429227406478</v>
      </c>
    </row>
    <row r="148" spans="1:15" x14ac:dyDescent="0.25">
      <c r="A148">
        <v>4</v>
      </c>
      <c r="B148" t="s">
        <v>311</v>
      </c>
      <c r="C148">
        <v>1896</v>
      </c>
      <c r="D148">
        <v>328.86700000000002</v>
      </c>
      <c r="E148">
        <v>623532</v>
      </c>
      <c r="F148">
        <v>303</v>
      </c>
      <c r="G148">
        <v>623532</v>
      </c>
      <c r="H148">
        <v>236.197</v>
      </c>
      <c r="I148" t="s">
        <v>136</v>
      </c>
      <c r="J148" t="s">
        <v>27</v>
      </c>
      <c r="K148" t="s">
        <v>164</v>
      </c>
      <c r="L148">
        <f t="shared" si="20"/>
        <v>47.716565656565656</v>
      </c>
      <c r="M148" t="s">
        <v>134</v>
      </c>
      <c r="N148">
        <f>G148-(((G$153/C$153*C148)+(G$154/C$154*C148)+(G$155/C$155*C148))/3)</f>
        <v>82067.070374807692</v>
      </c>
      <c r="O148">
        <f t="shared" si="22"/>
        <v>1719.8863590786423</v>
      </c>
    </row>
    <row r="149" spans="1:15" x14ac:dyDescent="0.25">
      <c r="A149">
        <v>5</v>
      </c>
      <c r="B149" t="s">
        <v>312</v>
      </c>
      <c r="C149">
        <v>1870</v>
      </c>
      <c r="D149">
        <v>366.33199999999999</v>
      </c>
      <c r="E149">
        <v>685040</v>
      </c>
      <c r="F149">
        <v>322</v>
      </c>
      <c r="G149">
        <v>685040</v>
      </c>
      <c r="H149">
        <v>232.70099999999999</v>
      </c>
      <c r="I149" t="s">
        <v>137</v>
      </c>
      <c r="J149" t="s">
        <v>27</v>
      </c>
      <c r="K149" t="s">
        <v>164</v>
      </c>
      <c r="L149">
        <f t="shared" si="20"/>
        <v>47.010303030303028</v>
      </c>
      <c r="M149" t="s">
        <v>134</v>
      </c>
      <c r="N149">
        <f>G149-(((G$153/C$153*C149)+(G$154/C$154*C149)+(G$155/C$155*C149))/3)</f>
        <v>151000.22236333869</v>
      </c>
      <c r="O149">
        <f t="shared" si="22"/>
        <v>3212.0665605155395</v>
      </c>
    </row>
    <row r="150" spans="1:15" x14ac:dyDescent="0.25">
      <c r="A150">
        <v>6</v>
      </c>
      <c r="B150" t="s">
        <v>313</v>
      </c>
      <c r="C150">
        <v>1861</v>
      </c>
      <c r="D150">
        <v>321.99200000000002</v>
      </c>
      <c r="E150">
        <v>599227</v>
      </c>
      <c r="F150">
        <v>299</v>
      </c>
      <c r="G150">
        <v>599227</v>
      </c>
      <c r="H150">
        <v>232.12799999999999</v>
      </c>
      <c r="I150" t="s">
        <v>138</v>
      </c>
      <c r="J150" t="s">
        <v>27</v>
      </c>
      <c r="K150" t="s">
        <v>164</v>
      </c>
      <c r="L150">
        <f t="shared" si="20"/>
        <v>46.894545454545451</v>
      </c>
      <c r="M150" t="s">
        <v>134</v>
      </c>
      <c r="N150">
        <f t="shared" ref="N150:N152" si="23">G150-(((G$153/C$153*C150)+(G$154/C$154*C150)+(G$155/C$155*C150))/3)</f>
        <v>67757.467282445636</v>
      </c>
      <c r="O150">
        <f t="shared" si="22"/>
        <v>1444.8901599466928</v>
      </c>
    </row>
    <row r="151" spans="1:15" x14ac:dyDescent="0.25">
      <c r="A151">
        <v>7</v>
      </c>
      <c r="B151" t="s">
        <v>314</v>
      </c>
      <c r="C151">
        <v>2002</v>
      </c>
      <c r="D151">
        <v>333.08600000000001</v>
      </c>
      <c r="E151">
        <v>666838</v>
      </c>
      <c r="F151">
        <v>304</v>
      </c>
      <c r="G151">
        <v>666838</v>
      </c>
      <c r="H151">
        <v>249.178</v>
      </c>
      <c r="I151" t="s">
        <v>139</v>
      </c>
      <c r="J151" t="s">
        <v>27</v>
      </c>
      <c r="K151" t="s">
        <v>164</v>
      </c>
      <c r="L151">
        <f t="shared" si="20"/>
        <v>50.338989898989894</v>
      </c>
      <c r="M151" t="s">
        <v>134</v>
      </c>
      <c r="N151">
        <f t="shared" si="23"/>
        <v>95101.296883103787</v>
      </c>
      <c r="O151">
        <f t="shared" si="22"/>
        <v>1889.2174251794452</v>
      </c>
    </row>
    <row r="152" spans="1:15" x14ac:dyDescent="0.25">
      <c r="A152">
        <v>8</v>
      </c>
      <c r="B152" t="s">
        <v>315</v>
      </c>
      <c r="C152">
        <v>1898</v>
      </c>
      <c r="D152">
        <v>319.14400000000001</v>
      </c>
      <c r="E152">
        <v>605735</v>
      </c>
      <c r="F152">
        <v>299</v>
      </c>
      <c r="G152">
        <v>605735</v>
      </c>
      <c r="H152">
        <v>236.512</v>
      </c>
      <c r="I152" t="s">
        <v>140</v>
      </c>
      <c r="J152" t="s">
        <v>27</v>
      </c>
      <c r="K152" t="s">
        <v>164</v>
      </c>
      <c r="L152">
        <f t="shared" si="20"/>
        <v>47.780202020202019</v>
      </c>
      <c r="M152" t="s">
        <v>134</v>
      </c>
      <c r="N152">
        <f t="shared" si="23"/>
        <v>63698.904837228241</v>
      </c>
      <c r="O152">
        <f t="shared" si="22"/>
        <v>1333.1652471937145</v>
      </c>
    </row>
    <row r="153" spans="1:15" x14ac:dyDescent="0.25">
      <c r="A153">
        <v>9</v>
      </c>
      <c r="B153" t="s">
        <v>316</v>
      </c>
      <c r="C153">
        <v>1722</v>
      </c>
      <c r="D153">
        <v>285.56299999999999</v>
      </c>
      <c r="E153">
        <v>491739</v>
      </c>
      <c r="F153">
        <v>286</v>
      </c>
      <c r="G153">
        <v>491739</v>
      </c>
      <c r="H153">
        <v>214.28100000000001</v>
      </c>
      <c r="I153" t="s">
        <v>124</v>
      </c>
      <c r="K153" t="s">
        <v>164</v>
      </c>
      <c r="L153">
        <f t="shared" si="20"/>
        <v>43.289090909090909</v>
      </c>
      <c r="M153" t="s">
        <v>134</v>
      </c>
      <c r="O153">
        <f t="shared" si="22"/>
        <v>0</v>
      </c>
    </row>
    <row r="154" spans="1:15" x14ac:dyDescent="0.25">
      <c r="A154">
        <v>10</v>
      </c>
      <c r="B154" t="s">
        <v>317</v>
      </c>
      <c r="C154">
        <v>1673</v>
      </c>
      <c r="D154">
        <v>285.55900000000003</v>
      </c>
      <c r="E154">
        <v>477740</v>
      </c>
      <c r="F154">
        <v>286</v>
      </c>
      <c r="G154">
        <v>477740</v>
      </c>
      <c r="H154">
        <v>208.37100000000001</v>
      </c>
      <c r="I154" t="s">
        <v>124</v>
      </c>
      <c r="K154" t="s">
        <v>164</v>
      </c>
      <c r="L154">
        <f t="shared" si="20"/>
        <v>42.095151515151514</v>
      </c>
      <c r="M154" t="s">
        <v>134</v>
      </c>
      <c r="O154">
        <f t="shared" si="22"/>
        <v>0</v>
      </c>
    </row>
    <row r="155" spans="1:15" x14ac:dyDescent="0.25">
      <c r="A155">
        <v>11</v>
      </c>
      <c r="B155" t="s">
        <v>318</v>
      </c>
      <c r="C155">
        <v>1752</v>
      </c>
      <c r="D155">
        <v>285.62700000000001</v>
      </c>
      <c r="E155">
        <v>500418</v>
      </c>
      <c r="F155">
        <v>286</v>
      </c>
      <c r="G155">
        <v>500418</v>
      </c>
      <c r="H155">
        <v>218.26400000000001</v>
      </c>
      <c r="I155" t="s">
        <v>124</v>
      </c>
      <c r="K155" t="s">
        <v>164</v>
      </c>
      <c r="L155">
        <f t="shared" si="20"/>
        <v>44.093737373737376</v>
      </c>
      <c r="M155" t="s">
        <v>134</v>
      </c>
      <c r="O155">
        <f t="shared" si="22"/>
        <v>0</v>
      </c>
    </row>
    <row r="156" spans="1:15" x14ac:dyDescent="0.25">
      <c r="A156">
        <v>1</v>
      </c>
      <c r="B156" t="s">
        <v>319</v>
      </c>
      <c r="C156">
        <v>1473</v>
      </c>
      <c r="D156">
        <v>310.09800000000001</v>
      </c>
      <c r="E156">
        <v>456775</v>
      </c>
      <c r="F156">
        <v>297</v>
      </c>
      <c r="G156">
        <v>456775</v>
      </c>
      <c r="H156">
        <v>183.07400000000001</v>
      </c>
      <c r="I156" t="s">
        <v>141</v>
      </c>
      <c r="J156" t="s">
        <v>27</v>
      </c>
      <c r="K156" t="s">
        <v>164</v>
      </c>
      <c r="L156">
        <f t="shared" si="20"/>
        <v>36.984646464646467</v>
      </c>
      <c r="M156" t="s">
        <v>142</v>
      </c>
      <c r="N156">
        <f>G156-(((G$164/C$164*C156)+(G$165/C$165*C156)+(G$166/C$166*C156))/3)</f>
        <v>36506.549059012905</v>
      </c>
      <c r="O156">
        <f t="shared" si="22"/>
        <v>987.07308433810294</v>
      </c>
    </row>
    <row r="157" spans="1:15" x14ac:dyDescent="0.25">
      <c r="A157">
        <v>2</v>
      </c>
      <c r="B157" t="s">
        <v>320</v>
      </c>
      <c r="C157">
        <v>1910</v>
      </c>
      <c r="D157">
        <v>317.54700000000003</v>
      </c>
      <c r="E157">
        <v>606515</v>
      </c>
      <c r="F157">
        <v>298</v>
      </c>
      <c r="G157">
        <v>606515</v>
      </c>
      <c r="H157">
        <v>237.71</v>
      </c>
      <c r="I157" t="s">
        <v>143</v>
      </c>
      <c r="J157" t="s">
        <v>27</v>
      </c>
      <c r="K157" t="s">
        <v>164</v>
      </c>
      <c r="L157">
        <f t="shared" si="20"/>
        <v>48.022222222222219</v>
      </c>
      <c r="M157" t="s">
        <v>142</v>
      </c>
      <c r="N157">
        <f>G157-(((G$164/C$164*C157)+(G$165/C$165*C157)+(G$166/C$166*C157))/3)</f>
        <v>61564.055466880323</v>
      </c>
      <c r="O157">
        <f t="shared" si="22"/>
        <v>1281.9909745532691</v>
      </c>
    </row>
    <row r="158" spans="1:15" x14ac:dyDescent="0.25">
      <c r="A158">
        <v>3</v>
      </c>
      <c r="B158" t="s">
        <v>321</v>
      </c>
      <c r="C158">
        <v>1654</v>
      </c>
      <c r="D158">
        <v>333.98599999999999</v>
      </c>
      <c r="E158">
        <v>552413</v>
      </c>
      <c r="F158">
        <v>311</v>
      </c>
      <c r="G158">
        <v>552413</v>
      </c>
      <c r="H158">
        <v>205.732</v>
      </c>
      <c r="I158" t="s">
        <v>144</v>
      </c>
      <c r="J158" t="s">
        <v>27</v>
      </c>
      <c r="K158" t="s">
        <v>164</v>
      </c>
      <c r="L158">
        <f t="shared" si="20"/>
        <v>41.5620202020202</v>
      </c>
      <c r="M158" t="s">
        <v>142</v>
      </c>
      <c r="N158">
        <f t="shared" ref="N158:N163" si="24">G158-(((G$164/C$164*C158)+(G$165/C$165*C158)+(G$166/C$166*C158))/3)</f>
        <v>80502.600912157155</v>
      </c>
      <c r="O158">
        <f t="shared" si="22"/>
        <v>1936.9270435089238</v>
      </c>
    </row>
    <row r="159" spans="1:15" x14ac:dyDescent="0.25">
      <c r="A159">
        <v>4</v>
      </c>
      <c r="B159" t="s">
        <v>322</v>
      </c>
      <c r="C159">
        <v>1377</v>
      </c>
      <c r="D159">
        <v>325.30099999999999</v>
      </c>
      <c r="E159">
        <v>447940</v>
      </c>
      <c r="F159">
        <v>309</v>
      </c>
      <c r="G159">
        <v>447940</v>
      </c>
      <c r="H159">
        <v>172.34399999999999</v>
      </c>
      <c r="I159" t="s">
        <v>145</v>
      </c>
      <c r="J159" t="s">
        <v>27</v>
      </c>
      <c r="K159" t="s">
        <v>164</v>
      </c>
      <c r="L159">
        <f t="shared" si="20"/>
        <v>34.816969696969693</v>
      </c>
      <c r="M159" t="s">
        <v>142</v>
      </c>
      <c r="N159">
        <f t="shared" si="24"/>
        <v>55061.753600991738</v>
      </c>
      <c r="O159">
        <f t="shared" si="22"/>
        <v>1581.4631221563218</v>
      </c>
    </row>
    <row r="160" spans="1:15" x14ac:dyDescent="0.25">
      <c r="A160">
        <v>5</v>
      </c>
      <c r="B160" t="s">
        <v>323</v>
      </c>
      <c r="C160">
        <v>1859</v>
      </c>
      <c r="D160">
        <v>346.20499999999998</v>
      </c>
      <c r="E160">
        <v>643596</v>
      </c>
      <c r="F160">
        <v>313</v>
      </c>
      <c r="G160">
        <v>643596</v>
      </c>
      <c r="H160">
        <v>232.136</v>
      </c>
      <c r="I160" t="s">
        <v>146</v>
      </c>
      <c r="J160" t="s">
        <v>27</v>
      </c>
      <c r="K160" t="s">
        <v>164</v>
      </c>
      <c r="L160">
        <f t="shared" si="20"/>
        <v>46.896161616161613</v>
      </c>
      <c r="M160" t="s">
        <v>142</v>
      </c>
      <c r="N160">
        <f t="shared" si="24"/>
        <v>113196.10162980657</v>
      </c>
      <c r="O160">
        <f t="shared" si="22"/>
        <v>2413.7604812159361</v>
      </c>
    </row>
    <row r="161" spans="1:15" x14ac:dyDescent="0.25">
      <c r="A161">
        <v>6</v>
      </c>
      <c r="B161" t="s">
        <v>324</v>
      </c>
      <c r="C161">
        <v>1969</v>
      </c>
      <c r="D161">
        <v>362.05200000000002</v>
      </c>
      <c r="E161">
        <v>712881</v>
      </c>
      <c r="F161">
        <v>328</v>
      </c>
      <c r="G161">
        <v>712881</v>
      </c>
      <c r="H161">
        <v>244.804</v>
      </c>
      <c r="I161" t="s">
        <v>147</v>
      </c>
      <c r="J161" t="s">
        <v>27</v>
      </c>
      <c r="K161" t="s">
        <v>164</v>
      </c>
      <c r="L161">
        <f t="shared" si="20"/>
        <v>49.455353535353531</v>
      </c>
      <c r="M161" t="s">
        <v>142</v>
      </c>
      <c r="N161">
        <f t="shared" si="24"/>
        <v>151096.49225878925</v>
      </c>
      <c r="O161">
        <f>N161/L161</f>
        <v>3055.2100320297336</v>
      </c>
    </row>
    <row r="162" spans="1:15" x14ac:dyDescent="0.25">
      <c r="A162">
        <v>7</v>
      </c>
      <c r="B162" t="s">
        <v>325</v>
      </c>
      <c r="C162">
        <v>1619</v>
      </c>
      <c r="D162">
        <v>329.67099999999999</v>
      </c>
      <c r="E162">
        <v>533738</v>
      </c>
      <c r="F162">
        <v>312</v>
      </c>
      <c r="G162">
        <v>533738</v>
      </c>
      <c r="H162">
        <v>201.97200000000001</v>
      </c>
      <c r="I162" t="s">
        <v>148</v>
      </c>
      <c r="J162" t="s">
        <v>27</v>
      </c>
      <c r="K162" t="s">
        <v>164</v>
      </c>
      <c r="L162">
        <f t="shared" si="20"/>
        <v>40.802424242424244</v>
      </c>
      <c r="M162" t="s">
        <v>142</v>
      </c>
      <c r="N162">
        <f t="shared" si="24"/>
        <v>71813.612984753505</v>
      </c>
      <c r="O162">
        <f t="shared" si="22"/>
        <v>1760.0329960317758</v>
      </c>
    </row>
    <row r="163" spans="1:15" x14ac:dyDescent="0.25">
      <c r="A163">
        <v>8</v>
      </c>
      <c r="B163" t="s">
        <v>326</v>
      </c>
      <c r="C163">
        <v>1519</v>
      </c>
      <c r="D163">
        <v>319.505</v>
      </c>
      <c r="E163">
        <v>485328</v>
      </c>
      <c r="F163">
        <v>299</v>
      </c>
      <c r="G163">
        <v>485328</v>
      </c>
      <c r="H163">
        <v>188.88</v>
      </c>
      <c r="I163" t="s">
        <v>149</v>
      </c>
      <c r="J163" t="s">
        <v>27</v>
      </c>
      <c r="K163" t="s">
        <v>164</v>
      </c>
      <c r="L163">
        <f t="shared" si="20"/>
        <v>38.157575757575756</v>
      </c>
      <c r="M163" t="s">
        <v>142</v>
      </c>
      <c r="N163">
        <f t="shared" si="24"/>
        <v>51935.076049314812</v>
      </c>
      <c r="O163">
        <f t="shared" si="22"/>
        <v>1361.068543223784</v>
      </c>
    </row>
    <row r="164" spans="1:15" x14ac:dyDescent="0.25">
      <c r="A164">
        <v>9</v>
      </c>
      <c r="B164" t="s">
        <v>327</v>
      </c>
      <c r="C164">
        <v>1632</v>
      </c>
      <c r="D164">
        <v>285.45600000000002</v>
      </c>
      <c r="E164">
        <v>465865</v>
      </c>
      <c r="F164">
        <v>285</v>
      </c>
      <c r="G164">
        <v>465865</v>
      </c>
      <c r="H164">
        <v>202.97399999999999</v>
      </c>
      <c r="I164" t="s">
        <v>124</v>
      </c>
      <c r="K164" t="s">
        <v>164</v>
      </c>
      <c r="L164">
        <f t="shared" si="20"/>
        <v>41.00484848484848</v>
      </c>
      <c r="M164" t="s">
        <v>142</v>
      </c>
      <c r="O164">
        <f t="shared" si="22"/>
        <v>0</v>
      </c>
    </row>
    <row r="165" spans="1:15" x14ac:dyDescent="0.25">
      <c r="A165">
        <v>10</v>
      </c>
      <c r="B165" t="s">
        <v>328</v>
      </c>
      <c r="C165">
        <v>1636</v>
      </c>
      <c r="D165">
        <v>285.34699999999998</v>
      </c>
      <c r="E165">
        <v>466828</v>
      </c>
      <c r="F165">
        <v>285</v>
      </c>
      <c r="G165">
        <v>466828</v>
      </c>
      <c r="H165">
        <v>203.374</v>
      </c>
      <c r="I165" t="s">
        <v>124</v>
      </c>
      <c r="K165" t="s">
        <v>164</v>
      </c>
      <c r="L165">
        <f t="shared" si="20"/>
        <v>41.085656565656564</v>
      </c>
      <c r="M165" t="s">
        <v>142</v>
      </c>
      <c r="O165">
        <f t="shared" si="22"/>
        <v>0</v>
      </c>
    </row>
    <row r="166" spans="1:15" x14ac:dyDescent="0.25">
      <c r="A166">
        <v>11</v>
      </c>
      <c r="B166" t="s">
        <v>329</v>
      </c>
      <c r="C166">
        <v>1726</v>
      </c>
      <c r="D166">
        <v>285.14</v>
      </c>
      <c r="E166">
        <v>492152</v>
      </c>
      <c r="F166">
        <v>285</v>
      </c>
      <c r="G166">
        <v>492152</v>
      </c>
      <c r="H166">
        <v>214.43199999999999</v>
      </c>
      <c r="I166" t="s">
        <v>124</v>
      </c>
      <c r="K166" t="s">
        <v>164</v>
      </c>
      <c r="L166">
        <f t="shared" si="20"/>
        <v>43.319595959595958</v>
      </c>
      <c r="M166" t="s">
        <v>142</v>
      </c>
      <c r="O166">
        <f t="shared" si="22"/>
        <v>0</v>
      </c>
    </row>
    <row r="167" spans="1:15" x14ac:dyDescent="0.25">
      <c r="A167">
        <v>1</v>
      </c>
      <c r="B167" t="s">
        <v>330</v>
      </c>
      <c r="C167">
        <v>1861</v>
      </c>
      <c r="D167">
        <v>333.46699999999998</v>
      </c>
      <c r="E167">
        <v>620583</v>
      </c>
      <c r="F167">
        <v>305</v>
      </c>
      <c r="G167">
        <v>620583</v>
      </c>
      <c r="H167">
        <v>231.77099999999999</v>
      </c>
      <c r="I167" t="s">
        <v>150</v>
      </c>
      <c r="J167" t="s">
        <v>27</v>
      </c>
      <c r="K167" t="s">
        <v>164</v>
      </c>
      <c r="L167">
        <f t="shared" si="20"/>
        <v>46.822424242424241</v>
      </c>
      <c r="M167" t="s">
        <v>151</v>
      </c>
      <c r="N167">
        <f t="shared" ref="N167:N172" si="25">G167-(((G$175/C$175*C167)+(G$176/C$176*C167)+(G$177/C$177*C167))/3)</f>
        <v>88986.96269791259</v>
      </c>
      <c r="O167">
        <f t="shared" si="22"/>
        <v>1900.5201917179775</v>
      </c>
    </row>
    <row r="168" spans="1:15" x14ac:dyDescent="0.25">
      <c r="A168">
        <v>2</v>
      </c>
      <c r="B168" t="s">
        <v>331</v>
      </c>
      <c r="C168">
        <v>1979</v>
      </c>
      <c r="D168">
        <v>338.78300000000002</v>
      </c>
      <c r="E168">
        <v>670452</v>
      </c>
      <c r="F168">
        <v>306</v>
      </c>
      <c r="G168">
        <v>670452</v>
      </c>
      <c r="H168">
        <v>246.43700000000001</v>
      </c>
      <c r="I168" t="s">
        <v>152</v>
      </c>
      <c r="J168" t="s">
        <v>27</v>
      </c>
      <c r="K168" t="s">
        <v>164</v>
      </c>
      <c r="L168">
        <f t="shared" si="20"/>
        <v>49.785252525252524</v>
      </c>
      <c r="M168" t="s">
        <v>151</v>
      </c>
      <c r="N168">
        <f t="shared" si="25"/>
        <v>105149.17473356752</v>
      </c>
      <c r="O168">
        <f t="shared" si="22"/>
        <v>2112.054662778557</v>
      </c>
    </row>
    <row r="169" spans="1:15" x14ac:dyDescent="0.25">
      <c r="A169">
        <v>3</v>
      </c>
      <c r="B169" t="s">
        <v>332</v>
      </c>
      <c r="C169">
        <v>2040</v>
      </c>
      <c r="D169">
        <v>353.33699999999999</v>
      </c>
      <c r="E169">
        <v>720807</v>
      </c>
      <c r="F169">
        <v>322</v>
      </c>
      <c r="G169">
        <v>720807</v>
      </c>
      <c r="H169">
        <v>254.577</v>
      </c>
      <c r="I169" t="s">
        <v>153</v>
      </c>
      <c r="J169" t="s">
        <v>27</v>
      </c>
      <c r="K169" t="s">
        <v>164</v>
      </c>
      <c r="L169">
        <f t="shared" si="20"/>
        <v>51.42969696969697</v>
      </c>
      <c r="M169" t="s">
        <v>151</v>
      </c>
      <c r="N169">
        <f t="shared" si="25"/>
        <v>138079.47926047386</v>
      </c>
      <c r="O169">
        <f t="shared" si="22"/>
        <v>2684.8200047111309</v>
      </c>
    </row>
    <row r="170" spans="1:15" x14ac:dyDescent="0.25">
      <c r="A170">
        <v>4</v>
      </c>
      <c r="B170" t="s">
        <v>333</v>
      </c>
      <c r="C170">
        <v>1934</v>
      </c>
      <c r="D170">
        <v>356.387</v>
      </c>
      <c r="E170">
        <v>689252</v>
      </c>
      <c r="F170">
        <v>314</v>
      </c>
      <c r="G170">
        <v>689252</v>
      </c>
      <c r="H170">
        <v>241.44300000000001</v>
      </c>
      <c r="I170" t="s">
        <v>154</v>
      </c>
      <c r="J170" t="s">
        <v>27</v>
      </c>
      <c r="K170" t="s">
        <v>164</v>
      </c>
      <c r="L170">
        <f t="shared" si="20"/>
        <v>48.776363636363634</v>
      </c>
      <c r="M170" t="s">
        <v>151</v>
      </c>
      <c r="N170">
        <f t="shared" si="25"/>
        <v>136803.45827929245</v>
      </c>
      <c r="O170">
        <f t="shared" si="22"/>
        <v>2804.7080200399168</v>
      </c>
    </row>
    <row r="171" spans="1:15" x14ac:dyDescent="0.25">
      <c r="A171">
        <v>5</v>
      </c>
      <c r="B171" t="s">
        <v>334</v>
      </c>
      <c r="C171">
        <v>1730</v>
      </c>
      <c r="D171">
        <v>327.67700000000002</v>
      </c>
      <c r="E171">
        <v>566882</v>
      </c>
      <c r="F171">
        <v>309</v>
      </c>
      <c r="G171">
        <v>566882</v>
      </c>
      <c r="H171">
        <v>215.489</v>
      </c>
      <c r="I171" t="s">
        <v>155</v>
      </c>
      <c r="J171" t="s">
        <v>27</v>
      </c>
      <c r="K171" t="s">
        <v>164</v>
      </c>
      <c r="L171">
        <f t="shared" si="20"/>
        <v>43.533131313131314</v>
      </c>
      <c r="M171" t="s">
        <v>151</v>
      </c>
      <c r="N171">
        <f t="shared" si="25"/>
        <v>72706.210353245027</v>
      </c>
      <c r="O171">
        <f t="shared" si="22"/>
        <v>1670.1350938960359</v>
      </c>
    </row>
    <row r="172" spans="1:15" x14ac:dyDescent="0.25">
      <c r="A172">
        <v>6</v>
      </c>
      <c r="B172" t="s">
        <v>335</v>
      </c>
      <c r="C172">
        <v>1607</v>
      </c>
      <c r="D172">
        <v>321.459</v>
      </c>
      <c r="E172">
        <v>516584</v>
      </c>
      <c r="F172">
        <v>305</v>
      </c>
      <c r="G172">
        <v>516584</v>
      </c>
      <c r="H172">
        <v>200.36600000000001</v>
      </c>
      <c r="I172" t="s">
        <v>156</v>
      </c>
      <c r="J172" t="s">
        <v>27</v>
      </c>
      <c r="K172" t="s">
        <v>164</v>
      </c>
      <c r="L172">
        <f t="shared" si="20"/>
        <v>40.477979797979799</v>
      </c>
      <c r="M172" t="s">
        <v>151</v>
      </c>
      <c r="N172">
        <f t="shared" si="25"/>
        <v>57543.25204489287</v>
      </c>
      <c r="O172">
        <f t="shared" si="22"/>
        <v>1421.593971143905</v>
      </c>
    </row>
    <row r="173" spans="1:15" x14ac:dyDescent="0.25">
      <c r="A173">
        <v>7</v>
      </c>
      <c r="B173" t="s">
        <v>336</v>
      </c>
      <c r="C173">
        <v>2058</v>
      </c>
      <c r="D173">
        <v>352.07799999999997</v>
      </c>
      <c r="E173">
        <v>724577</v>
      </c>
      <c r="F173">
        <v>316</v>
      </c>
      <c r="G173">
        <v>724577</v>
      </c>
      <c r="H173">
        <v>257.36599999999999</v>
      </c>
      <c r="I173" t="s">
        <v>157</v>
      </c>
      <c r="J173" t="s">
        <v>27</v>
      </c>
      <c r="K173" t="s">
        <v>164</v>
      </c>
      <c r="L173">
        <f t="shared" si="20"/>
        <v>51.993131313131308</v>
      </c>
      <c r="M173" t="s">
        <v>151</v>
      </c>
      <c r="N173">
        <f t="shared" ref="N173:N174" si="26">G173-(((G$175/C$175*C173)+(G$176/C$176*C173)+(G$177/C$177*C173))/3)</f>
        <v>136707.76584218384</v>
      </c>
      <c r="O173">
        <f t="shared" si="22"/>
        <v>2629.3428072037877</v>
      </c>
    </row>
    <row r="174" spans="1:15" x14ac:dyDescent="0.25">
      <c r="A174">
        <v>8</v>
      </c>
      <c r="B174" t="s">
        <v>337</v>
      </c>
      <c r="C174">
        <v>1907</v>
      </c>
      <c r="D174">
        <v>342.82100000000003</v>
      </c>
      <c r="E174">
        <v>653760</v>
      </c>
      <c r="F174">
        <v>310</v>
      </c>
      <c r="G174">
        <v>653760</v>
      </c>
      <c r="H174">
        <v>237.59399999999999</v>
      </c>
      <c r="I174" t="s">
        <v>158</v>
      </c>
      <c r="J174" t="s">
        <v>27</v>
      </c>
      <c r="K174" t="s">
        <v>164</v>
      </c>
      <c r="L174">
        <f t="shared" si="20"/>
        <v>47.998787878787873</v>
      </c>
      <c r="M174" t="s">
        <v>151</v>
      </c>
      <c r="N174">
        <f t="shared" si="26"/>
        <v>109024.02840672724</v>
      </c>
      <c r="O174">
        <f t="shared" si="22"/>
        <v>2271.3912835058964</v>
      </c>
    </row>
    <row r="175" spans="1:15" x14ac:dyDescent="0.25">
      <c r="A175">
        <v>9</v>
      </c>
      <c r="B175" t="s">
        <v>338</v>
      </c>
      <c r="C175">
        <v>1498</v>
      </c>
      <c r="D175">
        <v>285.625</v>
      </c>
      <c r="E175">
        <v>427866</v>
      </c>
      <c r="F175">
        <v>286</v>
      </c>
      <c r="G175">
        <v>427866</v>
      </c>
      <c r="H175">
        <v>186.12200000000001</v>
      </c>
      <c r="I175" t="s">
        <v>124</v>
      </c>
      <c r="K175" t="s">
        <v>164</v>
      </c>
      <c r="L175">
        <f t="shared" si="20"/>
        <v>37.600404040404044</v>
      </c>
      <c r="M175" t="s">
        <v>151</v>
      </c>
      <c r="O175">
        <f t="shared" si="22"/>
        <v>0</v>
      </c>
    </row>
    <row r="176" spans="1:15" x14ac:dyDescent="0.25">
      <c r="A176">
        <v>10</v>
      </c>
      <c r="B176" t="s">
        <v>339</v>
      </c>
      <c r="C176">
        <v>1541</v>
      </c>
      <c r="D176">
        <v>285.65199999999999</v>
      </c>
      <c r="E176">
        <v>440190</v>
      </c>
      <c r="F176">
        <v>286</v>
      </c>
      <c r="G176">
        <v>440190</v>
      </c>
      <c r="H176">
        <v>191.54300000000001</v>
      </c>
      <c r="I176" t="s">
        <v>124</v>
      </c>
      <c r="K176" t="s">
        <v>164</v>
      </c>
      <c r="L176">
        <f t="shared" si="20"/>
        <v>38.695555555555558</v>
      </c>
      <c r="M176" t="s">
        <v>151</v>
      </c>
      <c r="O176">
        <f t="shared" si="22"/>
        <v>0</v>
      </c>
    </row>
    <row r="177" spans="1:15" x14ac:dyDescent="0.25">
      <c r="A177">
        <v>11</v>
      </c>
      <c r="B177" t="s">
        <v>340</v>
      </c>
      <c r="C177">
        <v>1635</v>
      </c>
      <c r="D177">
        <v>285.67500000000001</v>
      </c>
      <c r="E177">
        <v>467079</v>
      </c>
      <c r="F177">
        <v>286</v>
      </c>
      <c r="G177">
        <v>467079</v>
      </c>
      <c r="H177">
        <v>203.435</v>
      </c>
      <c r="I177" t="s">
        <v>124</v>
      </c>
      <c r="K177" t="s">
        <v>164</v>
      </c>
      <c r="L177">
        <f t="shared" si="20"/>
        <v>41.097979797979797</v>
      </c>
      <c r="M177" t="s">
        <v>151</v>
      </c>
      <c r="O177">
        <f t="shared" si="22"/>
        <v>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2023-06-15T16:13:41Z</dcterms:modified>
</cp:coreProperties>
</file>