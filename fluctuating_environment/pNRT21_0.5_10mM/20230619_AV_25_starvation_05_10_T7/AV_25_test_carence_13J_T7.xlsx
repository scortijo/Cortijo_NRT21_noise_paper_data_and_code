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8_{430B8A80-3AF6-4E52-82D2-780ABB4F05DC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7" i="1" l="1"/>
  <c r="N172" i="1"/>
  <c r="N146" i="1"/>
  <c r="N157" i="1"/>
  <c r="N156" i="1"/>
  <c r="N68" i="1"/>
  <c r="N112" i="1" l="1"/>
  <c r="N26" i="1"/>
  <c r="N25" i="1"/>
  <c r="N24" i="1"/>
  <c r="N170" i="1" l="1"/>
  <c r="N169" i="1"/>
  <c r="N168" i="1"/>
  <c r="N167" i="1"/>
  <c r="N135" i="1"/>
  <c r="N134" i="1"/>
  <c r="N14" i="1" l="1"/>
  <c r="N15" i="1"/>
  <c r="N16" i="1"/>
  <c r="N17" i="1"/>
  <c r="N18" i="1"/>
  <c r="N19" i="1"/>
  <c r="N20" i="1"/>
  <c r="N13" i="1"/>
  <c r="N27" i="1"/>
  <c r="N28" i="1"/>
  <c r="N29" i="1"/>
  <c r="N30" i="1"/>
  <c r="N31" i="1"/>
  <c r="N36" i="1"/>
  <c r="N37" i="1"/>
  <c r="N38" i="1"/>
  <c r="N39" i="1"/>
  <c r="N40" i="1"/>
  <c r="N41" i="1"/>
  <c r="N42" i="1"/>
  <c r="N35" i="1"/>
  <c r="N47" i="1"/>
  <c r="N48" i="1"/>
  <c r="N49" i="1"/>
  <c r="N50" i="1"/>
  <c r="N51" i="1"/>
  <c r="N52" i="1"/>
  <c r="N53" i="1"/>
  <c r="N46" i="1"/>
  <c r="N58" i="1"/>
  <c r="N59" i="1"/>
  <c r="N60" i="1"/>
  <c r="N61" i="1"/>
  <c r="N62" i="1"/>
  <c r="N63" i="1"/>
  <c r="N64" i="1"/>
  <c r="N57" i="1"/>
  <c r="N69" i="1"/>
  <c r="N70" i="1"/>
  <c r="N71" i="1"/>
  <c r="N72" i="1"/>
  <c r="N73" i="1"/>
  <c r="N74" i="1"/>
  <c r="N75" i="1"/>
  <c r="N171" i="1" l="1"/>
  <c r="L34" i="1"/>
  <c r="N4" i="1"/>
  <c r="N3" i="1"/>
  <c r="N2" i="1"/>
  <c r="L133" i="1" l="1"/>
  <c r="L134" i="1"/>
  <c r="L135" i="1"/>
  <c r="L136" i="1"/>
  <c r="L137" i="1"/>
  <c r="L138" i="1"/>
  <c r="L139" i="1"/>
  <c r="L140" i="1"/>
  <c r="L141" i="1"/>
  <c r="L142" i="1"/>
  <c r="L143" i="1"/>
  <c r="O143" i="1" s="1"/>
  <c r="L144" i="1"/>
  <c r="O144" i="1" s="1"/>
  <c r="L145" i="1"/>
  <c r="L146" i="1"/>
  <c r="L147" i="1"/>
  <c r="L148" i="1"/>
  <c r="L149" i="1"/>
  <c r="L150" i="1"/>
  <c r="L151" i="1"/>
  <c r="L152" i="1"/>
  <c r="L153" i="1"/>
  <c r="O153" i="1" s="1"/>
  <c r="L154" i="1"/>
  <c r="L155" i="1"/>
  <c r="O155" i="1" s="1"/>
  <c r="L156" i="1"/>
  <c r="L157" i="1"/>
  <c r="L158" i="1"/>
  <c r="L159" i="1"/>
  <c r="L160" i="1"/>
  <c r="L161" i="1"/>
  <c r="L162" i="1"/>
  <c r="L163" i="1"/>
  <c r="L164" i="1"/>
  <c r="O164" i="1" s="1"/>
  <c r="L165" i="1"/>
  <c r="O165" i="1" s="1"/>
  <c r="L166" i="1"/>
  <c r="L167" i="1"/>
  <c r="L168" i="1"/>
  <c r="L169" i="1"/>
  <c r="O169" i="1" s="1"/>
  <c r="L170" i="1"/>
  <c r="O170" i="1" s="1"/>
  <c r="L171" i="1"/>
  <c r="L172" i="1"/>
  <c r="L173" i="1"/>
  <c r="L174" i="1"/>
  <c r="L175" i="1"/>
  <c r="O175" i="1" s="1"/>
  <c r="L176" i="1"/>
  <c r="O176" i="1" s="1"/>
  <c r="L177" i="1"/>
  <c r="O177" i="1" s="1"/>
  <c r="O142" i="1"/>
  <c r="O154" i="1"/>
  <c r="O166" i="1"/>
  <c r="O157" i="1"/>
  <c r="N158" i="1"/>
  <c r="O158" i="1" s="1"/>
  <c r="N159" i="1"/>
  <c r="N160" i="1"/>
  <c r="N161" i="1"/>
  <c r="O161" i="1" s="1"/>
  <c r="N162" i="1"/>
  <c r="O162" i="1" s="1"/>
  <c r="N163" i="1"/>
  <c r="N173" i="1"/>
  <c r="O173" i="1" s="1"/>
  <c r="N174" i="1"/>
  <c r="N141" i="1"/>
  <c r="O141" i="1" s="1"/>
  <c r="N140" i="1"/>
  <c r="N139" i="1"/>
  <c r="N138" i="1"/>
  <c r="N137" i="1"/>
  <c r="O137" i="1" s="1"/>
  <c r="N136" i="1"/>
  <c r="O134" i="1"/>
  <c r="N149" i="1"/>
  <c r="O149" i="1" s="1"/>
  <c r="N148" i="1"/>
  <c r="N147" i="1"/>
  <c r="O146" i="1"/>
  <c r="N145" i="1"/>
  <c r="O145" i="1" s="1"/>
  <c r="N150" i="1"/>
  <c r="O150" i="1" s="1"/>
  <c r="N151" i="1"/>
  <c r="N152" i="1"/>
  <c r="O138" i="1" l="1"/>
  <c r="O174" i="1"/>
  <c r="O135" i="1"/>
  <c r="O172" i="1"/>
  <c r="O168" i="1"/>
  <c r="O160" i="1"/>
  <c r="O156" i="1"/>
  <c r="O152" i="1"/>
  <c r="O148" i="1"/>
  <c r="O140" i="1"/>
  <c r="O136" i="1"/>
  <c r="O171" i="1"/>
  <c r="O167" i="1"/>
  <c r="O163" i="1"/>
  <c r="O159" i="1"/>
  <c r="O151" i="1"/>
  <c r="O147" i="1"/>
  <c r="O139" i="1"/>
  <c r="N106" i="1"/>
  <c r="N105" i="1"/>
  <c r="N104" i="1"/>
  <c r="N103" i="1"/>
  <c r="N102" i="1"/>
  <c r="N101" i="1"/>
  <c r="N94" i="1"/>
  <c r="N93" i="1"/>
  <c r="N92" i="1"/>
  <c r="N91" i="1"/>
  <c r="N90" i="1"/>
  <c r="N86" i="1"/>
  <c r="N85" i="1"/>
  <c r="N84" i="1"/>
  <c r="N83" i="1"/>
  <c r="N82" i="1"/>
  <c r="N81" i="1"/>
  <c r="N80" i="1"/>
  <c r="N79" i="1"/>
  <c r="L37" i="1"/>
  <c r="L38" i="1"/>
  <c r="L39" i="1"/>
  <c r="L40" i="1"/>
  <c r="L41" i="1"/>
  <c r="O41" i="1" s="1"/>
  <c r="L42" i="1"/>
  <c r="L43" i="1"/>
  <c r="O43" i="1" s="1"/>
  <c r="L44" i="1"/>
  <c r="O44" i="1" s="1"/>
  <c r="L45" i="1"/>
  <c r="O45" i="1" s="1"/>
  <c r="L46" i="1"/>
  <c r="L47" i="1"/>
  <c r="L48" i="1"/>
  <c r="L49" i="1"/>
  <c r="L50" i="1"/>
  <c r="L51" i="1"/>
  <c r="L52" i="1"/>
  <c r="L53" i="1"/>
  <c r="L54" i="1"/>
  <c r="O54" i="1" s="1"/>
  <c r="L55" i="1"/>
  <c r="O55" i="1" s="1"/>
  <c r="L56" i="1"/>
  <c r="O56" i="1" s="1"/>
  <c r="L57" i="1"/>
  <c r="L58" i="1"/>
  <c r="L59" i="1"/>
  <c r="L60" i="1"/>
  <c r="L61" i="1"/>
  <c r="L62" i="1"/>
  <c r="L63" i="1"/>
  <c r="L64" i="1"/>
  <c r="L65" i="1"/>
  <c r="O65" i="1" s="1"/>
  <c r="L66" i="1"/>
  <c r="O66" i="1" s="1"/>
  <c r="L67" i="1"/>
  <c r="O67" i="1" s="1"/>
  <c r="L68" i="1"/>
  <c r="L69" i="1"/>
  <c r="L70" i="1"/>
  <c r="L71" i="1"/>
  <c r="L72" i="1"/>
  <c r="L73" i="1"/>
  <c r="L74" i="1"/>
  <c r="L75" i="1"/>
  <c r="L76" i="1"/>
  <c r="O76" i="1" s="1"/>
  <c r="L77" i="1"/>
  <c r="O77" i="1" s="1"/>
  <c r="L78" i="1"/>
  <c r="O78" i="1" s="1"/>
  <c r="L79" i="1"/>
  <c r="L80" i="1"/>
  <c r="L81" i="1"/>
  <c r="L82" i="1"/>
  <c r="L83" i="1"/>
  <c r="L84" i="1"/>
  <c r="L85" i="1"/>
  <c r="L86" i="1"/>
  <c r="L87" i="1"/>
  <c r="O87" i="1" s="1"/>
  <c r="L88" i="1"/>
  <c r="O88" i="1" s="1"/>
  <c r="L89" i="1"/>
  <c r="O89" i="1" s="1"/>
  <c r="L90" i="1"/>
  <c r="L91" i="1"/>
  <c r="L92" i="1"/>
  <c r="L93" i="1"/>
  <c r="L94" i="1"/>
  <c r="L95" i="1"/>
  <c r="L96" i="1"/>
  <c r="L97" i="1"/>
  <c r="L98" i="1"/>
  <c r="O98" i="1" s="1"/>
  <c r="L99" i="1"/>
  <c r="O99" i="1" s="1"/>
  <c r="L100" i="1"/>
  <c r="O100" i="1" s="1"/>
  <c r="L101" i="1"/>
  <c r="L102" i="1"/>
  <c r="L103" i="1"/>
  <c r="L104" i="1"/>
  <c r="L105" i="1"/>
  <c r="L106" i="1"/>
  <c r="L107" i="1"/>
  <c r="L108" i="1"/>
  <c r="L109" i="1"/>
  <c r="O109" i="1" s="1"/>
  <c r="L110" i="1"/>
  <c r="O110" i="1" s="1"/>
  <c r="L111" i="1"/>
  <c r="O111" i="1" s="1"/>
  <c r="L112" i="1"/>
  <c r="L113" i="1"/>
  <c r="L114" i="1"/>
  <c r="L115" i="1"/>
  <c r="L116" i="1"/>
  <c r="L117" i="1"/>
  <c r="L118" i="1"/>
  <c r="L119" i="1"/>
  <c r="L120" i="1"/>
  <c r="O120" i="1" s="1"/>
  <c r="L121" i="1"/>
  <c r="O121" i="1" s="1"/>
  <c r="L122" i="1"/>
  <c r="O122" i="1" s="1"/>
  <c r="L123" i="1"/>
  <c r="L124" i="1"/>
  <c r="L125" i="1"/>
  <c r="L126" i="1"/>
  <c r="L127" i="1"/>
  <c r="L128" i="1"/>
  <c r="L129" i="1"/>
  <c r="L130" i="1"/>
  <c r="L131" i="1"/>
  <c r="O131" i="1" s="1"/>
  <c r="L132" i="1"/>
  <c r="O132" i="1" s="1"/>
  <c r="O133" i="1"/>
  <c r="O68" i="1" l="1"/>
  <c r="O47" i="1"/>
  <c r="O39" i="1"/>
  <c r="O69" i="1"/>
  <c r="O37" i="1"/>
  <c r="O40" i="1"/>
  <c r="O57" i="1"/>
  <c r="O42" i="1"/>
  <c r="O38" i="1"/>
  <c r="O48" i="1"/>
  <c r="O46" i="1"/>
  <c r="N114" i="1"/>
  <c r="O114" i="1" s="1"/>
  <c r="N113" i="1"/>
  <c r="O113" i="1" s="1"/>
  <c r="O112" i="1"/>
  <c r="O71" i="1"/>
  <c r="O70" i="1"/>
  <c r="O62" i="1"/>
  <c r="O61" i="1"/>
  <c r="O60" i="1"/>
  <c r="O59" i="1"/>
  <c r="O58" i="1"/>
  <c r="O49" i="1"/>
  <c r="N6" i="1" l="1"/>
  <c r="N5" i="1"/>
  <c r="O93" i="1" l="1"/>
  <c r="O92" i="1"/>
  <c r="O91" i="1"/>
  <c r="O94" i="1"/>
  <c r="N95" i="1"/>
  <c r="O95" i="1" s="1"/>
  <c r="N96" i="1"/>
  <c r="O96" i="1" s="1"/>
  <c r="N97" i="1"/>
  <c r="O97" i="1" s="1"/>
  <c r="N9" i="1"/>
  <c r="N8" i="1"/>
  <c r="N7" i="1"/>
  <c r="L2" i="1"/>
  <c r="O2" i="1" s="1"/>
  <c r="L3" i="1"/>
  <c r="O3" i="1" s="1"/>
  <c r="L4" i="1"/>
  <c r="O4" i="1" s="1"/>
  <c r="L5" i="1"/>
  <c r="O5" i="1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O35" i="1" s="1"/>
  <c r="L36" i="1"/>
  <c r="O36" i="1" s="1"/>
  <c r="N130" i="1" l="1"/>
  <c r="O130" i="1" s="1"/>
  <c r="O74" i="1"/>
  <c r="O75" i="1"/>
  <c r="O127" i="1"/>
  <c r="N126" i="1"/>
  <c r="O126" i="1" s="1"/>
  <c r="N125" i="1"/>
  <c r="O125" i="1" s="1"/>
  <c r="N124" i="1"/>
  <c r="O124" i="1" s="1"/>
  <c r="N115" i="1"/>
  <c r="O115" i="1" s="1"/>
  <c r="N116" i="1"/>
  <c r="O116" i="1" s="1"/>
  <c r="N117" i="1"/>
  <c r="O117" i="1" s="1"/>
  <c r="N118" i="1"/>
  <c r="O118" i="1" s="1"/>
  <c r="N119" i="1"/>
  <c r="O119" i="1" s="1"/>
  <c r="O102" i="1"/>
  <c r="O103" i="1"/>
  <c r="O104" i="1"/>
  <c r="O105" i="1"/>
  <c r="O106" i="1"/>
  <c r="N107" i="1"/>
  <c r="O107" i="1" s="1"/>
  <c r="N108" i="1"/>
  <c r="O108" i="1" s="1"/>
  <c r="O101" i="1"/>
  <c r="O85" i="1"/>
  <c r="O84" i="1"/>
  <c r="O82" i="1"/>
  <c r="O81" i="1"/>
  <c r="O10" i="1"/>
  <c r="O11" i="1"/>
  <c r="O12" i="1"/>
  <c r="O14" i="1" l="1"/>
  <c r="O20" i="1"/>
  <c r="O17" i="1"/>
  <c r="O18" i="1"/>
  <c r="O16" i="1"/>
  <c r="O15" i="1"/>
  <c r="O19" i="1"/>
  <c r="O6" i="1"/>
  <c r="O8" i="1"/>
  <c r="O9" i="1"/>
  <c r="O7" i="1"/>
  <c r="O83" i="1"/>
  <c r="O26" i="1" l="1"/>
  <c r="O51" i="1"/>
  <c r="N129" i="1"/>
  <c r="O129" i="1" s="1"/>
  <c r="O90" i="1" l="1"/>
  <c r="O79" i="1"/>
  <c r="N128" i="1" l="1"/>
  <c r="O128" i="1" s="1"/>
  <c r="N123" i="1"/>
  <c r="O123" i="1" s="1"/>
  <c r="O86" i="1"/>
  <c r="O80" i="1"/>
  <c r="O64" i="1"/>
  <c r="O72" i="1"/>
  <c r="O73" i="1"/>
  <c r="O63" i="1"/>
  <c r="O50" i="1"/>
  <c r="O52" i="1"/>
  <c r="O53" i="1"/>
  <c r="O27" i="1"/>
  <c r="O21" i="1"/>
  <c r="O22" i="1"/>
  <c r="O23" i="1"/>
  <c r="O24" i="1"/>
  <c r="O25" i="1"/>
  <c r="O31" i="1"/>
  <c r="O32" i="1"/>
  <c r="O33" i="1"/>
  <c r="O34" i="1"/>
  <c r="O28" i="1" l="1"/>
  <c r="O30" i="1"/>
  <c r="O29" i="1"/>
  <c r="O13" i="1"/>
</calcChain>
</file>

<file path=xl/sharedStrings.xml><?xml version="1.0" encoding="utf-8"?>
<sst xmlns="http://schemas.openxmlformats.org/spreadsheetml/2006/main" count="847" uniqueCount="341">
  <si>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</si>
  <si>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</si>
  <si>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</si>
  <si>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</si>
  <si>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</si>
  <si>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</si>
  <si>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</si>
  <si>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</si>
  <si>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</si>
  <si>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</si>
  <si>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</si>
  <si>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</si>
  <si>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</si>
  <si>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</si>
  <si>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plate1</t>
  </si>
  <si>
    <t>plate2</t>
  </si>
  <si>
    <t>plate3</t>
  </si>
  <si>
    <t>plate4</t>
  </si>
  <si>
    <t>number</t>
  </si>
  <si>
    <t>plate5</t>
  </si>
  <si>
    <t>plate6</t>
  </si>
  <si>
    <t>plate7</t>
  </si>
  <si>
    <t>plate8</t>
  </si>
  <si>
    <t>plate9</t>
  </si>
  <si>
    <t>plate10</t>
  </si>
  <si>
    <t>plate11</t>
  </si>
  <si>
    <t>plate12</t>
  </si>
  <si>
    <t>pNRT2.1:LUC</t>
  </si>
  <si>
    <t>seedling1</t>
  </si>
  <si>
    <t>seedling2</t>
  </si>
  <si>
    <t>seedling3</t>
  </si>
  <si>
    <t>seedling4</t>
  </si>
  <si>
    <t>seedling5</t>
  </si>
  <si>
    <t>seedling6</t>
  </si>
  <si>
    <t>seedling7</t>
  </si>
  <si>
    <t>seedling8</t>
  </si>
  <si>
    <t>seedling9</t>
  </si>
  <si>
    <t>seedling10</t>
  </si>
  <si>
    <t>seedling11</t>
  </si>
  <si>
    <t>seedling12</t>
  </si>
  <si>
    <t>seedling13</t>
  </si>
  <si>
    <t>seedling14</t>
  </si>
  <si>
    <t>seedling15</t>
  </si>
  <si>
    <t>seedling16</t>
  </si>
  <si>
    <t>seedling17</t>
  </si>
  <si>
    <t>seedling27</t>
  </si>
  <si>
    <t>seedling37</t>
  </si>
  <si>
    <t>seedling47</t>
  </si>
  <si>
    <t>seedling57</t>
  </si>
  <si>
    <t>seedling67</t>
  </si>
  <si>
    <t>seedling77</t>
  </si>
  <si>
    <t>seedling87</t>
  </si>
  <si>
    <t>seedling18</t>
  </si>
  <si>
    <t>seedling19</t>
  </si>
  <si>
    <t>seedling20</t>
  </si>
  <si>
    <t>seedling21</t>
  </si>
  <si>
    <t>seedling22</t>
  </si>
  <si>
    <t>seedling23</t>
  </si>
  <si>
    <t>seedling24</t>
  </si>
  <si>
    <t>seedling25</t>
  </si>
  <si>
    <t>seedling26</t>
  </si>
  <si>
    <t>seedling28</t>
  </si>
  <si>
    <t>seedling29</t>
  </si>
  <si>
    <t>seedling30</t>
  </si>
  <si>
    <t>seedling31</t>
  </si>
  <si>
    <t>seedling32</t>
  </si>
  <si>
    <t>seedling33</t>
  </si>
  <si>
    <t>seedling34</t>
  </si>
  <si>
    <t>seedling35</t>
  </si>
  <si>
    <t>seedling36</t>
  </si>
  <si>
    <t>seedling38</t>
  </si>
  <si>
    <t>seedling39</t>
  </si>
  <si>
    <t>seedling40</t>
  </si>
  <si>
    <t>seedling41</t>
  </si>
  <si>
    <t>seedling42</t>
  </si>
  <si>
    <t>seedling43</t>
  </si>
  <si>
    <t>seedling44</t>
  </si>
  <si>
    <t>seedling45</t>
  </si>
  <si>
    <t>seedling46</t>
  </si>
  <si>
    <t>seedling48</t>
  </si>
  <si>
    <t>seedling49</t>
  </si>
  <si>
    <t>seedling50</t>
  </si>
  <si>
    <t>seedling51</t>
  </si>
  <si>
    <t>seedling52</t>
  </si>
  <si>
    <t>seedling53</t>
  </si>
  <si>
    <t>seedling54</t>
  </si>
  <si>
    <t>seedling55</t>
  </si>
  <si>
    <t>seedling56</t>
  </si>
  <si>
    <t>seedling58</t>
  </si>
  <si>
    <t>seedling59</t>
  </si>
  <si>
    <t>seedling60</t>
  </si>
  <si>
    <t>seedling61</t>
  </si>
  <si>
    <t>seedling62</t>
  </si>
  <si>
    <t>seedling63</t>
  </si>
  <si>
    <t>seedling64</t>
  </si>
  <si>
    <t>seedling65</t>
  </si>
  <si>
    <t>seedling66</t>
  </si>
  <si>
    <t>seedling68</t>
  </si>
  <si>
    <t>seedling69</t>
  </si>
  <si>
    <t>seedling70</t>
  </si>
  <si>
    <t>seedling71</t>
  </si>
  <si>
    <t>seedling72</t>
  </si>
  <si>
    <t>seedling73</t>
  </si>
  <si>
    <t>seedling74</t>
  </si>
  <si>
    <t>seedling75</t>
  </si>
  <si>
    <t>seedling76</t>
  </si>
  <si>
    <t>seedling78</t>
  </si>
  <si>
    <t>seedling79</t>
  </si>
  <si>
    <t>seedling80</t>
  </si>
  <si>
    <t>seedling81</t>
  </si>
  <si>
    <t>seedling82</t>
  </si>
  <si>
    <t>seedling83</t>
  </si>
  <si>
    <t>seedling84</t>
  </si>
  <si>
    <t>seedling85</t>
  </si>
  <si>
    <t>seedling86</t>
  </si>
  <si>
    <t>seedling88</t>
  </si>
  <si>
    <t>seedling89</t>
  </si>
  <si>
    <t>seedling90</t>
  </si>
  <si>
    <t>seedling91</t>
  </si>
  <si>
    <t>seedling92</t>
  </si>
  <si>
    <t>seedling93</t>
  </si>
  <si>
    <t>seedling94</t>
  </si>
  <si>
    <t>seedling95</t>
  </si>
  <si>
    <t>seedling96</t>
  </si>
  <si>
    <t>background</t>
  </si>
  <si>
    <t>seedling97</t>
  </si>
  <si>
    <t>plate13</t>
  </si>
  <si>
    <t>seedling98</t>
  </si>
  <si>
    <t>seedling99</t>
  </si>
  <si>
    <t>seedling100</t>
  </si>
  <si>
    <t>seedling102</t>
  </si>
  <si>
    <t>seedling103</t>
  </si>
  <si>
    <t>seedling104</t>
  </si>
  <si>
    <t>seedling105</t>
  </si>
  <si>
    <t>plate14</t>
  </si>
  <si>
    <t>seedling107</t>
  </si>
  <si>
    <t>seedling108</t>
  </si>
  <si>
    <t>seedling109</t>
  </si>
  <si>
    <t>seedling110</t>
  </si>
  <si>
    <t>seedling111</t>
  </si>
  <si>
    <t>seedling112</t>
  </si>
  <si>
    <t>seedling113</t>
  </si>
  <si>
    <t>plate15</t>
  </si>
  <si>
    <t>seedling114</t>
  </si>
  <si>
    <t>seedling115</t>
  </si>
  <si>
    <t>seedling116</t>
  </si>
  <si>
    <t>seedling117</t>
  </si>
  <si>
    <t>seedling118</t>
  </si>
  <si>
    <t>seedling119</t>
  </si>
  <si>
    <t>seedling120</t>
  </si>
  <si>
    <t>seedling121</t>
  </si>
  <si>
    <t>plate16</t>
  </si>
  <si>
    <t>seedling122</t>
  </si>
  <si>
    <t>seedling123</t>
  </si>
  <si>
    <t>seedling124</t>
  </si>
  <si>
    <t>seedling125</t>
  </si>
  <si>
    <t>seedling126</t>
  </si>
  <si>
    <t>seedling127</t>
  </si>
  <si>
    <t>seedling128</t>
  </si>
  <si>
    <t>seedling101</t>
  </si>
  <si>
    <t>seedling106</t>
  </si>
  <si>
    <t>0.5mM-&gt;10mM</t>
  </si>
  <si>
    <t>0.5mM-&gt;0.5mM</t>
  </si>
  <si>
    <t>10mM-&gt;0.5mM</t>
  </si>
  <si>
    <t>10mM-&gt;10mM</t>
  </si>
  <si>
    <t>20230619_pNRT21_0.5_T7_N1_luc.tif:0244-0054</t>
  </si>
  <si>
    <t>20230619_pNRT21_0.5_T7_N1_luc.tif:0239-0097</t>
  </si>
  <si>
    <t>20230619_pNRT21_0.5_T7_N1_luc.tif:0254-0158</t>
  </si>
  <si>
    <t>20230619_pNRT21_0.5_T7_N1_luc.tif:0268-0210</t>
  </si>
  <si>
    <t>20230619_pNRT21_0.5_T7_N1_luc.tif:0282-0253</t>
  </si>
  <si>
    <t>20230619_pNRT21_0.5_T7_N1_luc.tif:0256-0301</t>
  </si>
  <si>
    <t>20230619_pNRT21_0.5_T7_N1_luc.tif:0188-0359</t>
  </si>
  <si>
    <t>20230619_pNRT21_0.5_T7_N1_luc.tif:0262-0401</t>
  </si>
  <si>
    <t>20230619_pNRT21_0.5_T7_N1_luc.tif:0380-0446</t>
  </si>
  <si>
    <t>20230619_pNRT21_0.5_T7_N1_luc.tif:0385-0337</t>
  </si>
  <si>
    <t>20230619_pNRT21_0.5_T7_N1_luc.tif:0383-0131</t>
  </si>
  <si>
    <t>20230619_pNRT21_0.5_T7_N2_luc.tif:0242-0029</t>
  </si>
  <si>
    <t>20230619_pNRT21_0.5_T7_N2_luc.tif:0227-0081</t>
  </si>
  <si>
    <t>20230619_pNRT21_0.5_T7_N2_luc.tif:0253-0133</t>
  </si>
  <si>
    <t>20230619_pNRT21_0.5_T7_N2_luc.tif:0234-0183</t>
  </si>
  <si>
    <t>20230619_pNRT21_0.5_T7_N2_luc.tif:0249-0254</t>
  </si>
  <si>
    <t>20230619_pNRT21_0.5_T7_N2_luc.tif:0279-0310</t>
  </si>
  <si>
    <t>20230619_pNRT21_0.5_T7_N2_luc.tif:0264-0339</t>
  </si>
  <si>
    <t>20230619_pNRT21_0.5_T7_N2_luc.tif:0257-0368</t>
  </si>
  <si>
    <t>20230619_pNRT21_0.5_T7_N2_luc.tif:0373-0417</t>
  </si>
  <si>
    <t>20230619_pNRT21_0.5_T7_N2_luc.tif:0407-0274</t>
  </si>
  <si>
    <t>20230619_pNRT21_0.5_T7_N2_luc.tif:0393-0223</t>
  </si>
  <si>
    <t>20230619_pNRT21_0.5_T7_N3_luc.tif:0300-0054</t>
  </si>
  <si>
    <t>20230619_pNRT21_0.5_T7_N3_luc.tif:0268-0088</t>
  </si>
  <si>
    <t>20230619_pNRT21_0.5_T7_N3_luc.tif:0269-0159</t>
  </si>
  <si>
    <t>20230619_pNRT21_0.5_T7_N3_luc.tif:0253-0190</t>
  </si>
  <si>
    <t>20230619_pNRT21_0.5_T7_N3_luc.tif:0212-0238</t>
  </si>
  <si>
    <t>20230619_pNRT21_0.5_T7_N3_luc.tif:0269-0290</t>
  </si>
  <si>
    <t>20230619_pNRT21_0.5_T7_N3_luc.tif:0216-0368</t>
  </si>
  <si>
    <t>20230619_pNRT21_0.5_T7_N3_luc.tif:0248-0395</t>
  </si>
  <si>
    <t>20230619_pNRT21_0.5_T7_N3_luc.tif:0349-0450</t>
  </si>
  <si>
    <t>20230619_pNRT21_0.5_T7_N3_luc.tif:0367-0345</t>
  </si>
  <si>
    <t>20230619_pNRT21_0.5_T7_N3_luc.tif:0380-0262</t>
  </si>
  <si>
    <t>20230619_pNRT21_0.5_T7_N4_luc.tif:0299-0052</t>
  </si>
  <si>
    <t>20230619_pNRT21_0.5_T7_N4_luc.tif:0282-0123</t>
  </si>
  <si>
    <t>20230619_pNRT21_0.5_T7_N4_luc.tif:0244-0165</t>
  </si>
  <si>
    <t>20230619_pNRT21_0.5_T7_N4_luc.tif:0284-0207</t>
  </si>
  <si>
    <t>20230619_pNRT21_0.5_T7_N4_luc.tif:0275-0277</t>
  </si>
  <si>
    <t>20230619_pNRT21_0.5_T7_N4_luc.tif:0253-0319</t>
  </si>
  <si>
    <t>20230619_pNRT21_0.5_T7_N4_luc.tif:0256-0384</t>
  </si>
  <si>
    <t>20230619_pNRT21_0.5_T7_N4_luc.tif:0304-0414</t>
  </si>
  <si>
    <t>20230619_pNRT21_0.5_T7_N4_luc.tif:0384-0463</t>
  </si>
  <si>
    <t>20230619_pNRT21_0.5_T7_N4_luc.tif:0379-0357</t>
  </si>
  <si>
    <t>20230619_pNRT21_0.5_T7_N4_luc.tif:0395-0243</t>
  </si>
  <si>
    <t>20230619_pNRT21_0.5_T7_N5_luc.tif:0249-0052</t>
  </si>
  <si>
    <t>20230619_pNRT21_0.5_T7_N5_luc.tif:0257-0086</t>
  </si>
  <si>
    <t>20230619_pNRT21_0.5_T7_N5_luc.tif:0246-0141</t>
  </si>
  <si>
    <t>20230619_pNRT21_0.5_T7_N5_luc.tif:0262-0175</t>
  </si>
  <si>
    <t>20230619_pNRT21_0.5_T7_N5_luc.tif:0268-0252</t>
  </si>
  <si>
    <t>20230619_pNRT21_0.5_T7_N5_luc.tif:0216-0310</t>
  </si>
  <si>
    <t>20230619_pNRT21_0.5_T7_N5_luc.tif:0258-0328</t>
  </si>
  <si>
    <t>20230619_pNRT21_0.5_T7_N5_luc.tif:0288-0381</t>
  </si>
  <si>
    <t>20230619_pNRT21_0.5_T7_N5_luc.tif:0373-0425</t>
  </si>
  <si>
    <t>20230619_pNRT21_0.5_T7_N5_luc.tif:0386-0283</t>
  </si>
  <si>
    <t>20230619_pNRT21_0.5_T7_N5_luc.tif:0402-0217</t>
  </si>
  <si>
    <t>20230619_pNRT21_0.5_T7_N6_luc.tif:0281-0061</t>
  </si>
  <si>
    <t>20230619_pNRT21_0.5_T7_N6_luc.tif:0250-0090</t>
  </si>
  <si>
    <t>20230619_pNRT21_0.5_T7_N6_luc.tif:0288-0131</t>
  </si>
  <si>
    <t>20230619_pNRT21_0.5_T7_N6_luc.tif:0287-0201</t>
  </si>
  <si>
    <t>20230619_pNRT21_0.5_T7_N6_luc.tif:0248-0257</t>
  </si>
  <si>
    <t>20230619_pNRT21_0.5_T7_N6_luc.tif:0228-0308</t>
  </si>
  <si>
    <t>20230619_pNRT21_0.5_T7_N6_luc.tif:0252-0355</t>
  </si>
  <si>
    <t>20230619_pNRT21_0.5_T7_N6_luc.tif:0247-0395</t>
  </si>
  <si>
    <t>20230619_pNRT21_0.5_T7_N6_luc.tif:0365-0445</t>
  </si>
  <si>
    <t>20230619_pNRT21_0.5_T7_N6_luc.tif:0391-0331</t>
  </si>
  <si>
    <t>20230619_pNRT21_0.5_T7_N6_luc.tif:0395-0163</t>
  </si>
  <si>
    <t>20230619_pNRT21_0.5_T7_N7_luc.tif:0234-0070</t>
  </si>
  <si>
    <t>20230619_pNRT21_0.5_T7_N7_luc.tif:0237-0110</t>
  </si>
  <si>
    <t>20230619_pNRT21_0.5_T7_N7_luc.tif:0251-0154</t>
  </si>
  <si>
    <t>20230619_pNRT21_0.5_T7_N7_luc.tif:0288-0208</t>
  </si>
  <si>
    <t>20230619_pNRT21_0.5_T7_N7_luc.tif:0280-0231</t>
  </si>
  <si>
    <t>20230619_pNRT21_0.5_T7_N7_luc.tif:0270-0293</t>
  </si>
  <si>
    <t>20230619_pNRT21_0.5_T7_N7_luc.tif:0205-0346</t>
  </si>
  <si>
    <t>20230619_pNRT21_0.5_T7_N7_luc.tif:0262-0394</t>
  </si>
  <si>
    <t>20230619_pNRT21_0.5_T7_N7_luc.tif:0378-0435</t>
  </si>
  <si>
    <t>20230619_pNRT21_0.5_T7_N7_luc.tif:0394-0358</t>
  </si>
  <si>
    <t>20230619_pNRT21_0.5_T7_N7_luc.tif:0378-0269</t>
  </si>
  <si>
    <t>20230619_pNRT21_0.5_T7_N8_luc.tif:0293-0063</t>
  </si>
  <si>
    <t>20230619_pNRT21_0.5_T7_N8_luc.tif:0243-0077</t>
  </si>
  <si>
    <t>20230619_pNRT21_0.5_T7_N8_luc.tif:0260-0134</t>
  </si>
  <si>
    <t>20230619_pNRT21_0.5_T7_N8_luc.tif:0256-0199</t>
  </si>
  <si>
    <t>20230619_pNRT21_0.5_T7_N8_luc.tif:0196-0252</t>
  </si>
  <si>
    <t>20230619_pNRT21_0.5_T7_N8_luc.tif:0236-0298</t>
  </si>
  <si>
    <t>20230619_pNRT21_0.5_T7_N8_luc.tif:0239-0359</t>
  </si>
  <si>
    <t>20230619_pNRT21_0.5_T7_N8_luc.tif:0285-0392</t>
  </si>
  <si>
    <t>20230619_pNRT21_0.5_T7_N8_luc.tif:0372-0435</t>
  </si>
  <si>
    <t>20230619_pNRT21_0.5_T7_N8_luc.tif:0378-0333</t>
  </si>
  <si>
    <t>20230619_pNRT21_0.5_T7_N8_luc.tif:0363-0251</t>
  </si>
  <si>
    <t>20230619_pNRT21_10_T7_N9_luc.tif:0295-0047</t>
  </si>
  <si>
    <t>20230619_pNRT21_10_T7_N9_luc.tif:0283-0091</t>
  </si>
  <si>
    <t>20230619_pNRT21_10_T7_N9_luc.tif:0261-0148</t>
  </si>
  <si>
    <t>20230619_pNRT21_10_T7_N9_luc.tif:0265-0188</t>
  </si>
  <si>
    <t>20230619_pNRT21_10_T7_N9_luc.tif:0229-0248</t>
  </si>
  <si>
    <t>20230619_pNRT21_10_T7_N9_luc.tif:0291-0306</t>
  </si>
  <si>
    <t>20230619_pNRT21_10_T7_N9_luc.tif:0258-0348</t>
  </si>
  <si>
    <t>20230619_pNRT21_10_T7_N9_luc.tif:0269-0403</t>
  </si>
  <si>
    <t>20230619_pNRT21_10_T7_N9_luc.tif:0329-0443</t>
  </si>
  <si>
    <t>20230619_pNRT21_10_T7_N9_luc.tif:0359-0372</t>
  </si>
  <si>
    <t>20230619_pNRT21_10_T7_N9_luc.tif:0373-0227</t>
  </si>
  <si>
    <t>20230619_pNRT21_10_T7_N10_luc.tif:0284-0055</t>
  </si>
  <si>
    <t>20230619_pNRT21_10_T7_N10_luc.tif:0284-0114</t>
  </si>
  <si>
    <t>20230619_pNRT21_10_T7_N10_luc.tif:0251-0146</t>
  </si>
  <si>
    <t>20230619_pNRT21_10_T7_N10_luc.tif:0282-0214</t>
  </si>
  <si>
    <t>20230619_pNRT21_10_T7_N10_luc.tif:0248-0294</t>
  </si>
  <si>
    <t>20230619_pNRT21_10_T7_N10_luc.tif:0273-0302</t>
  </si>
  <si>
    <t>20230619_pNRT21_10_T7_N10_luc.tif:0290-0339</t>
  </si>
  <si>
    <t>20230619_pNRT21_10_T7_N10_luc.tif:0194-0409</t>
  </si>
  <si>
    <t>20230619_pNRT21_10_T7_N10_luc.tif:0327-0455</t>
  </si>
  <si>
    <t>20230619_pNRT21_10_T7_N10_luc.tif:0331-0417</t>
  </si>
  <si>
    <t>20230619_pNRT21_10_T7_N10_luc.tif:0380-0192</t>
  </si>
  <si>
    <t>20230619_pNRT21_10_T7_N11_luc.tif:0285-0088</t>
  </si>
  <si>
    <t>20230619_pNRT21_10_T7_N11_luc.tif:0250-0100</t>
  </si>
  <si>
    <t>20230619_pNRT21_10_T7_N11_luc.tif:0262-0157</t>
  </si>
  <si>
    <t>20230619_pNRT21_10_T7_N11_luc.tif:0262-0201</t>
  </si>
  <si>
    <t>20230619_pNRT21_10_T7_N11_luc.tif:0263-0235</t>
  </si>
  <si>
    <t>20230619_pNRT21_10_T7_N11_luc.tif:0262-0308</t>
  </si>
  <si>
    <t>20230619_pNRT21_10_T7_N11_luc.tif:0259-0349</t>
  </si>
  <si>
    <t>20230619_pNRT21_10_T7_N11_luc.tif:0279-0404</t>
  </si>
  <si>
    <t>20230619_pNRT21_10_T7_N11_luc.tif:0370-0448</t>
  </si>
  <si>
    <t>20230619_pNRT21_10_T7_N11_luc.tif:0371-0285</t>
  </si>
  <si>
    <t>20230619_pNRT21_10_T7_N11_luc.tif:0390-0370</t>
  </si>
  <si>
    <t>20230619_pNRT21_10_T7_N12_luc.tif:0265-0067</t>
  </si>
  <si>
    <t>20230619_pNRT21_10_T7_N12_luc.tif:0278-0113</t>
  </si>
  <si>
    <t>20230619_pNRT21_10_T7_N12_luc.tif:0289-0168</t>
  </si>
  <si>
    <t>20230619_pNRT21_10_T7_N12_luc.tif:0276-0229</t>
  </si>
  <si>
    <t>20230619_pNRT21_10_T7_N12_luc.tif:0234-0268</t>
  </si>
  <si>
    <t>20230619_pNRT21_10_T7_N12_luc.tif:0281-0306</t>
  </si>
  <si>
    <t>20230619_pNRT21_10_T7_N12_luc.tif:0263-0346</t>
  </si>
  <si>
    <t>20230619_pNRT21_10_T7_N12_luc.tif:0275-0401</t>
  </si>
  <si>
    <t>20230619_pNRT21_10_T7_N12_luc.tif:0366-0457</t>
  </si>
  <si>
    <t>20230619_pNRT21_10_T7_N12_luc.tif:0375-0373</t>
  </si>
  <si>
    <t>20230619_pNRT21_10_T7_N12_luc.tif:0393-0254</t>
  </si>
  <si>
    <t>20230619_pNRT21_10_T7_N13_luc.tif:0288-0049</t>
  </si>
  <si>
    <t>20230619_pNRT21_10_T7_N13_luc.tif:0262-0107</t>
  </si>
  <si>
    <t>20230619_pNRT21_10_T7_N13_luc.tif:0288-0147</t>
  </si>
  <si>
    <t>20230619_pNRT21_10_T7_N13_luc.tif:0279-0212</t>
  </si>
  <si>
    <t>20230619_pNRT21_10_T7_N13_luc.tif:0286-0258</t>
  </si>
  <si>
    <t>20230619_pNRT21_10_T7_N13_luc.tif:0297-0312</t>
  </si>
  <si>
    <t>20230619_pNRT21_10_T7_N13_luc.tif:0294-0356</t>
  </si>
  <si>
    <t>20230619_pNRT21_10_T7_N13_luc.tif:0300-0409</t>
  </si>
  <si>
    <t>20230619_pNRT21_10_T7_N13_luc.tif:0365-0456</t>
  </si>
  <si>
    <t>20230619_pNRT21_10_T7_N13_luc.tif:0323-0026</t>
  </si>
  <si>
    <t>20230619_pNRT21_10_T7_N13_luc.tif:0373-0286</t>
  </si>
  <si>
    <t>20230619_pNRT21_10_T7_N14_luc.tif:0285-0053</t>
  </si>
  <si>
    <t>20230619_pNRT21_10_T7_N14_luc.tif:0288-0119</t>
  </si>
  <si>
    <t>20230619_pNRT21_10_T7_N14_luc.tif:0285-0157</t>
  </si>
  <si>
    <t>20230619_pNRT21_10_T7_N14_luc.tif:0290-0206</t>
  </si>
  <si>
    <t>20230619_pNRT21_10_T7_N14_luc.tif:0291-0244</t>
  </si>
  <si>
    <t>20230619_pNRT21_10_T7_N14_luc.tif:0287-0319</t>
  </si>
  <si>
    <t>20230619_pNRT21_10_T7_N14_luc.tif:0293-0372</t>
  </si>
  <si>
    <t>20230619_pNRT21_10_T7_N14_luc.tif:0289-0399</t>
  </si>
  <si>
    <t>20230619_pNRT21_10_T7_N14_luc.tif:0380-0451</t>
  </si>
  <si>
    <t>20230619_pNRT21_10_T7_N14_luc.tif:0371-0285</t>
  </si>
  <si>
    <t>20230619_pNRT21_10_T7_N14_luc.tif:0324-0026</t>
  </si>
  <si>
    <t>20230619_pNRT21_10_T7_N15_luc.tif:0257-0053</t>
  </si>
  <si>
    <t>20230619_pNRT21_10_T7_N15_luc.tif:0283-0106</t>
  </si>
  <si>
    <t>20230619_pNRT21_10_T7_N15_luc.tif:0250-0126</t>
  </si>
  <si>
    <t>20230619_pNRT21_10_T7_N15_luc.tif:0243-0212</t>
  </si>
  <si>
    <t>20230619_pNRT21_10_T7_N15_luc.tif:0289-0267</t>
  </si>
  <si>
    <t>20230619_pNRT21_10_T7_N15_luc.tif:0281-0298</t>
  </si>
  <si>
    <t>20230619_pNRT21_10_T7_N15_luc.tif:0265-0345</t>
  </si>
  <si>
    <t>20230619_pNRT21_10_T7_N15_luc.tif:0262-0431</t>
  </si>
  <si>
    <t>20230619_pNRT21_10_T7_N15_luc.tif:0370-0456</t>
  </si>
  <si>
    <t>20230619_pNRT21_10_T7_N15_luc.tif:0372-0378</t>
  </si>
  <si>
    <t>20230619_pNRT21_10_T7_N15_luc.tif:0375-0175</t>
  </si>
  <si>
    <t>20230619_pNRT21_10_T7_N16_luc.tif:0280-0056</t>
  </si>
  <si>
    <t>20230619_pNRT21_10_T7_N16_luc.tif:0290-0088</t>
  </si>
  <si>
    <t>20230619_pNRT21_10_T7_N16_luc.tif:0286-0145</t>
  </si>
  <si>
    <t>20230619_pNRT21_10_T7_N16_luc.tif:0281-0213</t>
  </si>
  <si>
    <t>20230619_pNRT21_10_T7_N16_luc.tif:0268-0268</t>
  </si>
  <si>
    <t>20230619_pNRT21_10_T7_N16_luc.tif:0232-0312</t>
  </si>
  <si>
    <t>20230619_pNRT21_10_T7_N16_luc.tif:0275-0337</t>
  </si>
  <si>
    <t>20230619_pNRT21_10_T7_N16_luc.tif:0272-0395</t>
  </si>
  <si>
    <t>20230619_pNRT21_10_T7_N16_luc.tif:0343-0436</t>
  </si>
  <si>
    <t>20230619_pNRT21_10_T7_N16_luc.tif:0377-0366</t>
  </si>
  <si>
    <t>20230619_pNRT21_10_T7_N16_luc.tif:0040-0232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</si>
</sst>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7"/>
  <sheetViews>
    <sheetView tabSelected="1" topLeftCell="A148" zoomScale="70" zoomScaleNormal="70" workbookViewId="0">
      <selection activeCell="A167" sqref="A167:H177"/>
    </sheetView>
  </sheetViews>
  <sheetFormatPr baseColWidth="10" defaultColWidth="9.1328125" defaultRowHeight="14.25" x14ac:dyDescent="0.45"/>
  <cols>
    <col min="2" max="2" width="31.265625" customWidth="1"/>
    <col min="7" max="7" width="13.3984375" customWidth="1"/>
    <col min="8" max="8" width="11.86328125" customWidth="1"/>
    <col min="9" max="9" width="13.73046875" customWidth="1"/>
    <col min="10" max="10" width="20.3984375" customWidth="1"/>
    <col min="11" max="11" width="22" customWidth="1"/>
    <col min="12" max="12" width="14.265625" customWidth="1"/>
    <col min="13" max="13" width="21.1328125" customWidth="1"/>
    <col min="14" max="14" width="23.265625" customWidth="1"/>
    <col min="15" max="15" width="27.1328125" customWidth="1"/>
  </cols>
  <sheetData>
    <row r="1" spans="1:15" x14ac:dyDescent="0.4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s="1" t="s">
        <v>12</v>
      </c>
    </row>
    <row r="2" spans="1:15" x14ac:dyDescent="0.45">
      <c r="A2">
        <v>1</v>
      </c>
      <c r="B2" t="s">
        <v>165</v>
      </c>
      <c r="C2">
        <v>2457</v>
      </c>
      <c r="D2">
        <v>322.39499999999998</v>
      </c>
      <c r="E2">
        <v>792124</v>
      </c>
      <c r="F2">
        <v>298</v>
      </c>
      <c r="G2">
        <v>792124</v>
      </c>
      <c r="H2">
        <v>306.83999999999997</v>
      </c>
      <c r="I2" t="s">
        <v>28</v>
      </c>
      <c r="J2" t="s">
        <v>27</v>
      </c>
      <c r="K2" t="s">
        <v>161</v>
      </c>
      <c r="L2">
        <f t="shared" ref="L2:L65" si="0">H2/4.95</f>
        <v>61.987878787878778</v>
      </c>
      <c r="M2" t="s">
        <v>14</v>
      </c>
      <c r="N2">
        <f>G2-(((G$10/C$10*C2)+(G$11/C$11*C2)+(G$12/C$12*C2))/3)</f>
        <v>95341.811625860981</v>
      </c>
      <c r="O2">
        <f t="shared" ref="O2" si="1">N2/L2</f>
        <v>1538.071853565415</v>
      </c>
    </row>
    <row r="3" spans="1:15" x14ac:dyDescent="0.45">
      <c r="A3">
        <v>2</v>
      </c>
      <c r="B3" t="s">
        <v>166</v>
      </c>
      <c r="C3">
        <v>2340</v>
      </c>
      <c r="D3">
        <v>309.85399999999998</v>
      </c>
      <c r="E3">
        <v>725059</v>
      </c>
      <c r="F3">
        <v>295</v>
      </c>
      <c r="G3">
        <v>725059</v>
      </c>
      <c r="H3">
        <v>292.08699999999999</v>
      </c>
      <c r="I3" t="s">
        <v>29</v>
      </c>
      <c r="J3" t="s">
        <v>27</v>
      </c>
      <c r="K3" t="s">
        <v>161</v>
      </c>
      <c r="L3">
        <f t="shared" si="0"/>
        <v>59.007474747474745</v>
      </c>
      <c r="M3" t="s">
        <v>14</v>
      </c>
      <c r="N3">
        <f>G3-(((G$10/C$10*C3)+(G$11/C$11*C3)+(G$12/C$12*C3))/3)</f>
        <v>61456.915834153187</v>
      </c>
      <c r="O3">
        <f>N3/L3</f>
        <v>1041.5106916057828</v>
      </c>
    </row>
    <row r="4" spans="1:15" x14ac:dyDescent="0.45">
      <c r="A4">
        <v>3</v>
      </c>
      <c r="B4" t="s">
        <v>167</v>
      </c>
      <c r="C4">
        <v>2669</v>
      </c>
      <c r="D4">
        <v>298.762</v>
      </c>
      <c r="E4">
        <v>797395</v>
      </c>
      <c r="F4">
        <v>287</v>
      </c>
      <c r="G4">
        <v>797395</v>
      </c>
      <c r="H4">
        <v>332.34100000000001</v>
      </c>
      <c r="I4" t="s">
        <v>30</v>
      </c>
      <c r="J4" t="s">
        <v>27</v>
      </c>
      <c r="K4" t="s">
        <v>161</v>
      </c>
      <c r="L4">
        <f t="shared" si="0"/>
        <v>67.139595959595965</v>
      </c>
      <c r="M4" t="s">
        <v>14</v>
      </c>
      <c r="N4">
        <f>G4-(((G$10/C$10*C4)+(G$11/C$11*C4)+(G$12/C$12*C4))/3)</f>
        <v>40491.597162972204</v>
      </c>
      <c r="O4">
        <f>N4/L4</f>
        <v>603.09563357127888</v>
      </c>
    </row>
    <row r="5" spans="1:15" x14ac:dyDescent="0.45">
      <c r="A5">
        <v>4</v>
      </c>
      <c r="B5" t="s">
        <v>168</v>
      </c>
      <c r="C5">
        <v>2937</v>
      </c>
      <c r="D5">
        <v>314.61200000000002</v>
      </c>
      <c r="E5">
        <v>924015</v>
      </c>
      <c r="F5">
        <v>294</v>
      </c>
      <c r="G5">
        <v>924015</v>
      </c>
      <c r="H5">
        <v>367.77100000000002</v>
      </c>
      <c r="I5" t="s">
        <v>31</v>
      </c>
      <c r="J5" t="s">
        <v>27</v>
      </c>
      <c r="K5" t="s">
        <v>161</v>
      </c>
      <c r="L5">
        <f t="shared" si="0"/>
        <v>74.297171717171722</v>
      </c>
      <c r="M5" t="s">
        <v>14</v>
      </c>
      <c r="N5">
        <f>G5-(((G$10/C$10*C5)+(G$11/C$11*C5)+(G$12/C$12*C5))/3)</f>
        <v>91109.307181584649</v>
      </c>
      <c r="O5">
        <f>N5/L5</f>
        <v>1226.2823076013171</v>
      </c>
    </row>
    <row r="6" spans="1:15" x14ac:dyDescent="0.45">
      <c r="A6">
        <v>5</v>
      </c>
      <c r="B6" t="s">
        <v>169</v>
      </c>
      <c r="C6">
        <v>3111</v>
      </c>
      <c r="D6">
        <v>329.84500000000003</v>
      </c>
      <c r="E6">
        <v>1026147</v>
      </c>
      <c r="F6">
        <v>300</v>
      </c>
      <c r="G6">
        <v>1026147</v>
      </c>
      <c r="H6">
        <v>389.32100000000003</v>
      </c>
      <c r="I6" t="s">
        <v>32</v>
      </c>
      <c r="J6" t="s">
        <v>27</v>
      </c>
      <c r="K6" t="s">
        <v>161</v>
      </c>
      <c r="L6">
        <f t="shared" si="0"/>
        <v>78.650707070707071</v>
      </c>
      <c r="M6" t="s">
        <v>14</v>
      </c>
      <c r="N6">
        <f>G6-(((G$10/C$10*C6)+(G$11/C$11*C6)+(G$12/C$12*C6))/3)</f>
        <v>143896.5368205345</v>
      </c>
      <c r="O6">
        <f t="shared" ref="O6:O12" si="2">N6/L6</f>
        <v>1829.564439785282</v>
      </c>
    </row>
    <row r="7" spans="1:15" x14ac:dyDescent="0.45">
      <c r="A7">
        <v>6</v>
      </c>
      <c r="B7" t="s">
        <v>170</v>
      </c>
      <c r="C7">
        <v>2783</v>
      </c>
      <c r="D7">
        <v>315.09399999999999</v>
      </c>
      <c r="E7">
        <v>876907</v>
      </c>
      <c r="F7">
        <v>295</v>
      </c>
      <c r="G7">
        <v>876907</v>
      </c>
      <c r="H7">
        <v>347.22300000000001</v>
      </c>
      <c r="I7" t="s">
        <v>33</v>
      </c>
      <c r="J7" t="s">
        <v>27</v>
      </c>
      <c r="K7" t="s">
        <v>161</v>
      </c>
      <c r="L7">
        <f t="shared" si="0"/>
        <v>70.146060606060601</v>
      </c>
      <c r="M7" t="s">
        <v>14</v>
      </c>
      <c r="N7">
        <f t="shared" ref="N7:N9" si="3">G7-(((G$10/C$10*C7)+(G$11/C$11*C7)+(G$12/C$12*C7))/3)</f>
        <v>87674.264857456554</v>
      </c>
      <c r="O7">
        <f t="shared" si="2"/>
        <v>1249.8815200732959</v>
      </c>
    </row>
    <row r="8" spans="1:15" x14ac:dyDescent="0.45">
      <c r="A8">
        <v>7</v>
      </c>
      <c r="B8" t="s">
        <v>171</v>
      </c>
      <c r="C8">
        <v>1664</v>
      </c>
      <c r="D8">
        <v>298.68700000000001</v>
      </c>
      <c r="E8">
        <v>497015</v>
      </c>
      <c r="F8">
        <v>292</v>
      </c>
      <c r="G8">
        <v>497015</v>
      </c>
      <c r="H8">
        <v>207.84100000000001</v>
      </c>
      <c r="I8" t="s">
        <v>34</v>
      </c>
      <c r="J8" t="s">
        <v>27</v>
      </c>
      <c r="K8" t="s">
        <v>161</v>
      </c>
      <c r="L8">
        <f t="shared" si="0"/>
        <v>41.988080808080809</v>
      </c>
      <c r="M8" t="s">
        <v>14</v>
      </c>
      <c r="N8">
        <f t="shared" si="3"/>
        <v>25120.184593175596</v>
      </c>
      <c r="O8">
        <f t="shared" si="2"/>
        <v>598.26941621825915</v>
      </c>
    </row>
    <row r="9" spans="1:15" x14ac:dyDescent="0.45">
      <c r="A9">
        <v>8</v>
      </c>
      <c r="B9" t="s">
        <v>172</v>
      </c>
      <c r="C9">
        <v>2892</v>
      </c>
      <c r="D9">
        <v>321.63499999999999</v>
      </c>
      <c r="E9">
        <v>930168</v>
      </c>
      <c r="F9">
        <v>304</v>
      </c>
      <c r="G9">
        <v>930168</v>
      </c>
      <c r="H9">
        <v>361.00400000000002</v>
      </c>
      <c r="I9" t="s">
        <v>35</v>
      </c>
      <c r="J9" t="s">
        <v>27</v>
      </c>
      <c r="K9" t="s">
        <v>161</v>
      </c>
      <c r="L9">
        <f t="shared" si="0"/>
        <v>72.930101010101012</v>
      </c>
      <c r="M9" t="s">
        <v>14</v>
      </c>
      <c r="N9">
        <f t="shared" si="3"/>
        <v>110023.88572323555</v>
      </c>
      <c r="O9">
        <f t="shared" si="2"/>
        <v>1508.6210522044519</v>
      </c>
    </row>
    <row r="10" spans="1:15" x14ac:dyDescent="0.45">
      <c r="A10">
        <v>9</v>
      </c>
      <c r="B10" t="s">
        <v>173</v>
      </c>
      <c r="C10">
        <v>1633</v>
      </c>
      <c r="D10">
        <v>283.50900000000001</v>
      </c>
      <c r="E10">
        <v>462970</v>
      </c>
      <c r="F10">
        <v>284</v>
      </c>
      <c r="G10">
        <v>462970</v>
      </c>
      <c r="H10">
        <v>202.73099999999999</v>
      </c>
      <c r="I10" t="s">
        <v>124</v>
      </c>
      <c r="K10" t="s">
        <v>161</v>
      </c>
      <c r="L10">
        <f t="shared" si="0"/>
        <v>40.955757575757573</v>
      </c>
      <c r="M10" t="s">
        <v>14</v>
      </c>
      <c r="O10">
        <f>N10/L10</f>
        <v>0</v>
      </c>
    </row>
    <row r="11" spans="1:15" x14ac:dyDescent="0.45">
      <c r="A11">
        <v>10</v>
      </c>
      <c r="B11" t="s">
        <v>174</v>
      </c>
      <c r="C11">
        <v>1688</v>
      </c>
      <c r="D11">
        <v>283.73899999999998</v>
      </c>
      <c r="E11">
        <v>478952</v>
      </c>
      <c r="F11">
        <v>284</v>
      </c>
      <c r="G11">
        <v>478952</v>
      </c>
      <c r="H11">
        <v>210.80500000000001</v>
      </c>
      <c r="I11" t="s">
        <v>124</v>
      </c>
      <c r="K11" t="s">
        <v>161</v>
      </c>
      <c r="L11">
        <f t="shared" si="0"/>
        <v>42.586868686868684</v>
      </c>
      <c r="M11" t="s">
        <v>14</v>
      </c>
      <c r="O11">
        <f t="shared" si="2"/>
        <v>0</v>
      </c>
    </row>
    <row r="12" spans="1:15" x14ac:dyDescent="0.45">
      <c r="A12">
        <v>11</v>
      </c>
      <c r="B12" t="s">
        <v>175</v>
      </c>
      <c r="C12">
        <v>1942</v>
      </c>
      <c r="D12">
        <v>283.524</v>
      </c>
      <c r="E12">
        <v>550603</v>
      </c>
      <c r="F12">
        <v>284</v>
      </c>
      <c r="G12">
        <v>550603</v>
      </c>
      <c r="H12">
        <v>242.15100000000001</v>
      </c>
      <c r="I12" t="s">
        <v>124</v>
      </c>
      <c r="K12" t="s">
        <v>161</v>
      </c>
      <c r="L12">
        <f t="shared" si="0"/>
        <v>48.919393939393942</v>
      </c>
      <c r="M12" t="s">
        <v>14</v>
      </c>
      <c r="O12">
        <f t="shared" si="2"/>
        <v>0</v>
      </c>
    </row>
    <row r="13" spans="1:15" x14ac:dyDescent="0.45">
      <c r="A13">
        <v>1</v>
      </c>
      <c r="B13" t="s">
        <v>176</v>
      </c>
      <c r="C13">
        <v>2523</v>
      </c>
      <c r="D13">
        <v>302.01</v>
      </c>
      <c r="E13">
        <v>761972</v>
      </c>
      <c r="F13">
        <v>288</v>
      </c>
      <c r="G13">
        <v>761972</v>
      </c>
      <c r="H13">
        <v>317.18099999999998</v>
      </c>
      <c r="I13" t="s">
        <v>36</v>
      </c>
      <c r="J13" t="s">
        <v>27</v>
      </c>
      <c r="K13" t="s">
        <v>161</v>
      </c>
      <c r="L13">
        <f t="shared" si="0"/>
        <v>64.076969696969698</v>
      </c>
      <c r="M13" t="s">
        <v>15</v>
      </c>
      <c r="N13">
        <f>G13-(((G$21/C$21*C13)+(G$22/C$22*C13)+(G$23/C$23*C13))/3)</f>
        <v>42606.734976995853</v>
      </c>
      <c r="O13">
        <f t="shared" ref="O13:O76" si="4">N13/L13</f>
        <v>664.93055427698846</v>
      </c>
    </row>
    <row r="14" spans="1:15" x14ac:dyDescent="0.45">
      <c r="A14">
        <v>2</v>
      </c>
      <c r="B14" t="s">
        <v>177</v>
      </c>
      <c r="C14">
        <v>2231</v>
      </c>
      <c r="D14">
        <v>306.279</v>
      </c>
      <c r="E14">
        <v>683309</v>
      </c>
      <c r="F14">
        <v>294</v>
      </c>
      <c r="G14">
        <v>683309</v>
      </c>
      <c r="H14">
        <v>277.714</v>
      </c>
      <c r="I14" t="s">
        <v>37</v>
      </c>
      <c r="J14" t="s">
        <v>27</v>
      </c>
      <c r="K14" t="s">
        <v>161</v>
      </c>
      <c r="L14">
        <f t="shared" si="0"/>
        <v>56.103838383838379</v>
      </c>
      <c r="M14" t="s">
        <v>15</v>
      </c>
      <c r="N14">
        <f t="shared" ref="N14:N20" si="5">G14-(((G$21/C$21*C14)+(G$22/C$22*C14)+(G$23/C$23*C14))/3)</f>
        <v>47199.643572603236</v>
      </c>
      <c r="O14">
        <f t="shared" ref="O14:O20" si="6">N14/L14</f>
        <v>841.29080883349786</v>
      </c>
    </row>
    <row r="15" spans="1:15" x14ac:dyDescent="0.45">
      <c r="A15">
        <v>3</v>
      </c>
      <c r="B15" t="s">
        <v>178</v>
      </c>
      <c r="C15">
        <v>2700</v>
      </c>
      <c r="D15">
        <v>315.286</v>
      </c>
      <c r="E15">
        <v>851271</v>
      </c>
      <c r="F15">
        <v>297</v>
      </c>
      <c r="G15">
        <v>851271</v>
      </c>
      <c r="H15">
        <v>337.30900000000003</v>
      </c>
      <c r="I15" t="s">
        <v>38</v>
      </c>
      <c r="J15" t="s">
        <v>27</v>
      </c>
      <c r="K15" t="s">
        <v>161</v>
      </c>
      <c r="L15">
        <f t="shared" si="0"/>
        <v>68.143232323232326</v>
      </c>
      <c r="M15" t="s">
        <v>15</v>
      </c>
      <c r="N15">
        <f t="shared" si="5"/>
        <v>81438.968465275131</v>
      </c>
      <c r="O15">
        <f t="shared" si="6"/>
        <v>1195.1145504659285</v>
      </c>
    </row>
    <row r="16" spans="1:15" x14ac:dyDescent="0.45">
      <c r="A16">
        <v>4</v>
      </c>
      <c r="B16" t="s">
        <v>179</v>
      </c>
      <c r="C16">
        <v>2633</v>
      </c>
      <c r="D16">
        <v>301.142</v>
      </c>
      <c r="E16">
        <v>792908</v>
      </c>
      <c r="F16">
        <v>291</v>
      </c>
      <c r="G16">
        <v>792908</v>
      </c>
      <c r="H16">
        <v>329.166</v>
      </c>
      <c r="I16" t="s">
        <v>39</v>
      </c>
      <c r="J16" t="s">
        <v>27</v>
      </c>
      <c r="K16" t="s">
        <v>161</v>
      </c>
      <c r="L16">
        <f t="shared" si="0"/>
        <v>66.49818181818182</v>
      </c>
      <c r="M16" t="s">
        <v>15</v>
      </c>
      <c r="N16">
        <f t="shared" si="5"/>
        <v>42179.207766321953</v>
      </c>
      <c r="O16">
        <f t="shared" si="6"/>
        <v>634.2911432021948</v>
      </c>
    </row>
    <row r="17" spans="1:15" x14ac:dyDescent="0.45">
      <c r="A17">
        <v>5</v>
      </c>
      <c r="B17" t="s">
        <v>180</v>
      </c>
      <c r="C17">
        <v>2645</v>
      </c>
      <c r="D17">
        <v>336.98500000000001</v>
      </c>
      <c r="E17">
        <v>891326</v>
      </c>
      <c r="F17">
        <v>305</v>
      </c>
      <c r="G17">
        <v>891326</v>
      </c>
      <c r="H17">
        <v>330.161</v>
      </c>
      <c r="I17" t="s">
        <v>40</v>
      </c>
      <c r="J17" t="s">
        <v>27</v>
      </c>
      <c r="K17" t="s">
        <v>161</v>
      </c>
      <c r="L17">
        <f t="shared" si="0"/>
        <v>66.699191919191918</v>
      </c>
      <c r="M17" t="s">
        <v>15</v>
      </c>
      <c r="N17">
        <f t="shared" si="5"/>
        <v>137175.73207061214</v>
      </c>
      <c r="O17">
        <f t="shared" si="6"/>
        <v>2056.6325936422841</v>
      </c>
    </row>
    <row r="18" spans="1:15" x14ac:dyDescent="0.45">
      <c r="A18">
        <v>6</v>
      </c>
      <c r="B18" t="s">
        <v>181</v>
      </c>
      <c r="C18">
        <v>3191</v>
      </c>
      <c r="D18">
        <v>319.03300000000002</v>
      </c>
      <c r="E18">
        <v>1018034</v>
      </c>
      <c r="F18">
        <v>295</v>
      </c>
      <c r="G18">
        <v>1018034</v>
      </c>
      <c r="H18">
        <v>398.779</v>
      </c>
      <c r="I18" t="s">
        <v>41</v>
      </c>
      <c r="J18" t="s">
        <v>27</v>
      </c>
      <c r="K18" t="s">
        <v>161</v>
      </c>
      <c r="L18">
        <f t="shared" si="0"/>
        <v>80.561414141414133</v>
      </c>
      <c r="M18" t="s">
        <v>15</v>
      </c>
      <c r="N18">
        <f t="shared" si="5"/>
        <v>108206.58791581215</v>
      </c>
      <c r="O18">
        <f t="shared" si="6"/>
        <v>1343.156510707109</v>
      </c>
    </row>
    <row r="19" spans="1:15" x14ac:dyDescent="0.45">
      <c r="A19">
        <v>7</v>
      </c>
      <c r="B19" t="s">
        <v>182</v>
      </c>
      <c r="C19">
        <v>2925</v>
      </c>
      <c r="D19">
        <v>310.53399999999999</v>
      </c>
      <c r="E19">
        <v>908311</v>
      </c>
      <c r="F19">
        <v>291</v>
      </c>
      <c r="G19">
        <v>908311</v>
      </c>
      <c r="H19">
        <v>365.28800000000001</v>
      </c>
      <c r="I19" t="s">
        <v>42</v>
      </c>
      <c r="J19" t="s">
        <v>27</v>
      </c>
      <c r="K19" t="s">
        <v>161</v>
      </c>
      <c r="L19">
        <f t="shared" si="0"/>
        <v>73.795555555555552</v>
      </c>
      <c r="M19" t="s">
        <v>15</v>
      </c>
      <c r="N19">
        <f t="shared" si="5"/>
        <v>74326.299170714687</v>
      </c>
      <c r="O19">
        <f t="shared" si="6"/>
        <v>1007.1920810293185</v>
      </c>
    </row>
    <row r="20" spans="1:15" x14ac:dyDescent="0.45">
      <c r="A20">
        <v>8</v>
      </c>
      <c r="B20" t="s">
        <v>183</v>
      </c>
      <c r="C20">
        <v>2909</v>
      </c>
      <c r="D20">
        <v>305.73399999999998</v>
      </c>
      <c r="E20">
        <v>889381</v>
      </c>
      <c r="F20">
        <v>291</v>
      </c>
      <c r="G20">
        <v>889381</v>
      </c>
      <c r="H20">
        <v>364.66</v>
      </c>
      <c r="I20" t="s">
        <v>43</v>
      </c>
      <c r="J20" t="s">
        <v>27</v>
      </c>
      <c r="K20" t="s">
        <v>161</v>
      </c>
      <c r="L20">
        <f t="shared" si="0"/>
        <v>73.668686868686876</v>
      </c>
      <c r="M20" t="s">
        <v>15</v>
      </c>
      <c r="N20">
        <f t="shared" si="5"/>
        <v>59958.266764994594</v>
      </c>
      <c r="O20">
        <f t="shared" si="6"/>
        <v>813.89080372600017</v>
      </c>
    </row>
    <row r="21" spans="1:15" x14ac:dyDescent="0.45">
      <c r="A21">
        <v>9</v>
      </c>
      <c r="B21" t="s">
        <v>184</v>
      </c>
      <c r="C21">
        <v>1693</v>
      </c>
      <c r="D21">
        <v>284.99099999999999</v>
      </c>
      <c r="E21">
        <v>482489</v>
      </c>
      <c r="F21">
        <v>285</v>
      </c>
      <c r="G21">
        <v>482489</v>
      </c>
      <c r="H21">
        <v>211.06200000000001</v>
      </c>
      <c r="I21" t="s">
        <v>124</v>
      </c>
      <c r="K21" t="s">
        <v>161</v>
      </c>
      <c r="L21">
        <f>H21/4.95</f>
        <v>42.63878787878788</v>
      </c>
      <c r="M21" t="s">
        <v>15</v>
      </c>
      <c r="O21">
        <f t="shared" si="4"/>
        <v>0</v>
      </c>
    </row>
    <row r="22" spans="1:15" x14ac:dyDescent="0.45">
      <c r="A22">
        <v>10</v>
      </c>
      <c r="B22" t="s">
        <v>185</v>
      </c>
      <c r="C22">
        <v>1388</v>
      </c>
      <c r="D22">
        <v>285.07600000000002</v>
      </c>
      <c r="E22">
        <v>395686</v>
      </c>
      <c r="F22">
        <v>285</v>
      </c>
      <c r="G22">
        <v>395686</v>
      </c>
      <c r="H22">
        <v>172.124</v>
      </c>
      <c r="I22" t="s">
        <v>124</v>
      </c>
      <c r="K22" t="s">
        <v>161</v>
      </c>
      <c r="L22">
        <f t="shared" si="0"/>
        <v>34.772525252525249</v>
      </c>
      <c r="M22" t="s">
        <v>15</v>
      </c>
      <c r="O22">
        <f t="shared" si="4"/>
        <v>0</v>
      </c>
    </row>
    <row r="23" spans="1:15" x14ac:dyDescent="0.45">
      <c r="A23">
        <v>11</v>
      </c>
      <c r="B23" t="s">
        <v>186</v>
      </c>
      <c r="C23">
        <v>1745</v>
      </c>
      <c r="D23">
        <v>285.30200000000002</v>
      </c>
      <c r="E23">
        <v>497852</v>
      </c>
      <c r="F23">
        <v>285</v>
      </c>
      <c r="G23">
        <v>497852</v>
      </c>
      <c r="H23">
        <v>217.12299999999999</v>
      </c>
      <c r="I23" t="s">
        <v>124</v>
      </c>
      <c r="K23" t="s">
        <v>161</v>
      </c>
      <c r="L23">
        <f t="shared" si="0"/>
        <v>43.863232323232317</v>
      </c>
      <c r="M23" t="s">
        <v>15</v>
      </c>
      <c r="O23">
        <f t="shared" si="4"/>
        <v>0</v>
      </c>
    </row>
    <row r="24" spans="1:15" x14ac:dyDescent="0.45">
      <c r="A24">
        <v>1</v>
      </c>
      <c r="B24" t="s">
        <v>187</v>
      </c>
      <c r="C24">
        <v>3048</v>
      </c>
      <c r="D24">
        <v>320.262</v>
      </c>
      <c r="E24">
        <v>976158</v>
      </c>
      <c r="F24">
        <v>296</v>
      </c>
      <c r="G24">
        <v>976158</v>
      </c>
      <c r="H24">
        <v>379.78300000000002</v>
      </c>
      <c r="I24" t="s">
        <v>44</v>
      </c>
      <c r="J24" t="s">
        <v>27</v>
      </c>
      <c r="K24" t="s">
        <v>161</v>
      </c>
      <c r="L24">
        <f t="shared" si="0"/>
        <v>76.723838383838384</v>
      </c>
      <c r="M24" t="s">
        <v>16</v>
      </c>
      <c r="N24">
        <f>G24-(((G$32/C$32*C24)+(G$33/C$33*C24)+(G$34/C$34*C24))/3)</f>
        <v>105827.04334709013</v>
      </c>
      <c r="O24">
        <f>N24/L24</f>
        <v>1379.3241523925403</v>
      </c>
    </row>
    <row r="25" spans="1:15" x14ac:dyDescent="0.45">
      <c r="A25">
        <v>2</v>
      </c>
      <c r="B25" t="s">
        <v>188</v>
      </c>
      <c r="C25">
        <v>2724</v>
      </c>
      <c r="D25">
        <v>325.59500000000003</v>
      </c>
      <c r="E25">
        <v>886922</v>
      </c>
      <c r="F25">
        <v>298</v>
      </c>
      <c r="G25">
        <v>886922</v>
      </c>
      <c r="H25">
        <v>340.21300000000002</v>
      </c>
      <c r="I25" t="s">
        <v>52</v>
      </c>
      <c r="J25" t="s">
        <v>27</v>
      </c>
      <c r="K25" t="s">
        <v>161</v>
      </c>
      <c r="L25">
        <f t="shared" si="0"/>
        <v>68.729898989898999</v>
      </c>
      <c r="M25" t="s">
        <v>16</v>
      </c>
      <c r="N25">
        <f>G25-(((G$32/C$32*C25)+(G$33/C$33*C25)+(G$34/C$34*C25))/3)</f>
        <v>109106.53873932862</v>
      </c>
      <c r="O25">
        <f>N25/L25</f>
        <v>1587.4683411853064</v>
      </c>
    </row>
    <row r="26" spans="1:15" x14ac:dyDescent="0.45">
      <c r="A26">
        <v>3</v>
      </c>
      <c r="B26" t="s">
        <v>189</v>
      </c>
      <c r="C26">
        <v>2847</v>
      </c>
      <c r="D26">
        <v>333.423</v>
      </c>
      <c r="E26">
        <v>949255</v>
      </c>
      <c r="F26">
        <v>308</v>
      </c>
      <c r="G26">
        <v>949255</v>
      </c>
      <c r="H26">
        <v>354.85199999999998</v>
      </c>
      <c r="I26" t="s">
        <v>53</v>
      </c>
      <c r="J26" t="s">
        <v>27</v>
      </c>
      <c r="K26" t="s">
        <v>161</v>
      </c>
      <c r="L26">
        <f>H26/4.95</f>
        <v>71.687272727272713</v>
      </c>
      <c r="M26" t="s">
        <v>16</v>
      </c>
      <c r="N26">
        <f>G26-(((G$32/C$32*C26)+(G$33/C$33*C26)+(G$34/C$34*C26))/3)</f>
        <v>136317.91548857151</v>
      </c>
      <c r="O26">
        <f>N26/L26</f>
        <v>1901.5636988615793</v>
      </c>
    </row>
    <row r="27" spans="1:15" x14ac:dyDescent="0.45">
      <c r="A27">
        <v>4</v>
      </c>
      <c r="B27" t="s">
        <v>190</v>
      </c>
      <c r="C27">
        <v>2781</v>
      </c>
      <c r="D27">
        <v>323.50099999999998</v>
      </c>
      <c r="E27">
        <v>899657</v>
      </c>
      <c r="F27">
        <v>301</v>
      </c>
      <c r="G27">
        <v>899657</v>
      </c>
      <c r="H27">
        <v>347.392</v>
      </c>
      <c r="I27" t="s">
        <v>54</v>
      </c>
      <c r="J27" t="s">
        <v>27</v>
      </c>
      <c r="K27" t="s">
        <v>161</v>
      </c>
      <c r="L27">
        <f>H27/4.95</f>
        <v>70.180202020202017</v>
      </c>
      <c r="M27" t="s">
        <v>16</v>
      </c>
      <c r="N27">
        <f t="shared" ref="N27:N31" si="7">G27-(((G$32/C$32*C27)+(G$33/C$33*C27)+(G$34/C$34*C27))/3)</f>
        <v>105565.6645499533</v>
      </c>
      <c r="O27">
        <f>N27/L27</f>
        <v>1504.2086159792652</v>
      </c>
    </row>
    <row r="28" spans="1:15" x14ac:dyDescent="0.45">
      <c r="A28">
        <v>5</v>
      </c>
      <c r="B28" t="s">
        <v>191</v>
      </c>
      <c r="C28">
        <v>2169</v>
      </c>
      <c r="D28">
        <v>302.411</v>
      </c>
      <c r="E28">
        <v>655929</v>
      </c>
      <c r="F28">
        <v>294</v>
      </c>
      <c r="G28">
        <v>655929</v>
      </c>
      <c r="H28">
        <v>270.09199999999998</v>
      </c>
      <c r="I28" t="s">
        <v>55</v>
      </c>
      <c r="J28" t="s">
        <v>27</v>
      </c>
      <c r="K28" t="s">
        <v>161</v>
      </c>
      <c r="L28">
        <f t="shared" si="0"/>
        <v>54.564040404040398</v>
      </c>
      <c r="M28" t="s">
        <v>16</v>
      </c>
      <c r="N28">
        <f t="shared" si="7"/>
        <v>36589.155846403795</v>
      </c>
      <c r="O28">
        <f>N28/L28</f>
        <v>670.57269907919817</v>
      </c>
    </row>
    <row r="29" spans="1:15" x14ac:dyDescent="0.45">
      <c r="A29">
        <v>6</v>
      </c>
      <c r="B29" t="s">
        <v>192</v>
      </c>
      <c r="C29">
        <v>3062</v>
      </c>
      <c r="D29">
        <v>301.08600000000001</v>
      </c>
      <c r="E29">
        <v>921925</v>
      </c>
      <c r="F29">
        <v>289</v>
      </c>
      <c r="G29">
        <v>921925</v>
      </c>
      <c r="H29">
        <v>381.238</v>
      </c>
      <c r="I29" t="s">
        <v>56</v>
      </c>
      <c r="J29" t="s">
        <v>27</v>
      </c>
      <c r="K29" t="s">
        <v>161</v>
      </c>
      <c r="L29">
        <f t="shared" si="0"/>
        <v>77.017777777777781</v>
      </c>
      <c r="M29" t="s">
        <v>16</v>
      </c>
      <c r="N29">
        <f t="shared" si="7"/>
        <v>47596.460212857579</v>
      </c>
      <c r="O29">
        <f t="shared" si="4"/>
        <v>617.99316451572247</v>
      </c>
    </row>
    <row r="30" spans="1:15" x14ac:dyDescent="0.45">
      <c r="A30">
        <v>7</v>
      </c>
      <c r="B30" t="s">
        <v>193</v>
      </c>
      <c r="C30">
        <v>2232</v>
      </c>
      <c r="D30">
        <v>297.11200000000002</v>
      </c>
      <c r="E30">
        <v>663153</v>
      </c>
      <c r="F30">
        <v>290</v>
      </c>
      <c r="G30">
        <v>663153</v>
      </c>
      <c r="H30">
        <v>277.55799999999999</v>
      </c>
      <c r="I30" t="s">
        <v>57</v>
      </c>
      <c r="J30" t="s">
        <v>27</v>
      </c>
      <c r="K30" t="s">
        <v>161</v>
      </c>
      <c r="L30">
        <f t="shared" si="0"/>
        <v>56.072323232323228</v>
      </c>
      <c r="M30" t="s">
        <v>16</v>
      </c>
      <c r="N30">
        <f t="shared" si="7"/>
        <v>25824.031742357532</v>
      </c>
      <c r="O30">
        <f t="shared" si="4"/>
        <v>460.54863172623305</v>
      </c>
    </row>
    <row r="31" spans="1:15" x14ac:dyDescent="0.45">
      <c r="A31">
        <v>8</v>
      </c>
      <c r="B31" t="s">
        <v>194</v>
      </c>
      <c r="C31">
        <v>2851</v>
      </c>
      <c r="D31">
        <v>304.83199999999999</v>
      </c>
      <c r="E31">
        <v>869075</v>
      </c>
      <c r="F31">
        <v>290</v>
      </c>
      <c r="G31">
        <v>869075</v>
      </c>
      <c r="H31">
        <v>356.63499999999999</v>
      </c>
      <c r="I31" t="s">
        <v>58</v>
      </c>
      <c r="J31" t="s">
        <v>27</v>
      </c>
      <c r="K31" t="s">
        <v>161</v>
      </c>
      <c r="L31">
        <f t="shared" si="0"/>
        <v>72.047474747474737</v>
      </c>
      <c r="M31" t="s">
        <v>16</v>
      </c>
      <c r="N31">
        <f t="shared" si="7"/>
        <v>54995.748878790648</v>
      </c>
      <c r="O31">
        <f t="shared" si="4"/>
        <v>763.32652978539329</v>
      </c>
    </row>
    <row r="32" spans="1:15" x14ac:dyDescent="0.45">
      <c r="A32">
        <v>9</v>
      </c>
      <c r="B32" t="s">
        <v>195</v>
      </c>
      <c r="C32">
        <v>1763</v>
      </c>
      <c r="D32">
        <v>285.541</v>
      </c>
      <c r="E32">
        <v>503408</v>
      </c>
      <c r="F32">
        <v>285</v>
      </c>
      <c r="G32">
        <v>503408</v>
      </c>
      <c r="H32">
        <v>219.14099999999999</v>
      </c>
      <c r="I32" t="s">
        <v>124</v>
      </c>
      <c r="K32" t="s">
        <v>161</v>
      </c>
      <c r="L32">
        <f t="shared" si="0"/>
        <v>44.270909090909086</v>
      </c>
      <c r="M32" t="s">
        <v>16</v>
      </c>
      <c r="O32">
        <f t="shared" si="4"/>
        <v>0</v>
      </c>
    </row>
    <row r="33" spans="1:15" x14ac:dyDescent="0.45">
      <c r="A33">
        <v>10</v>
      </c>
      <c r="B33" t="s">
        <v>196</v>
      </c>
      <c r="C33">
        <v>2056</v>
      </c>
      <c r="D33">
        <v>285.48899999999998</v>
      </c>
      <c r="E33">
        <v>586965</v>
      </c>
      <c r="F33">
        <v>285</v>
      </c>
      <c r="G33">
        <v>586965</v>
      </c>
      <c r="H33">
        <v>256.14499999999998</v>
      </c>
      <c r="I33" t="s">
        <v>124</v>
      </c>
      <c r="K33" t="s">
        <v>161</v>
      </c>
      <c r="L33">
        <f t="shared" si="0"/>
        <v>51.746464646464638</v>
      </c>
      <c r="M33" t="s">
        <v>16</v>
      </c>
      <c r="O33">
        <f t="shared" si="4"/>
        <v>0</v>
      </c>
    </row>
    <row r="34" spans="1:15" x14ac:dyDescent="0.45">
      <c r="A34">
        <v>11</v>
      </c>
      <c r="B34" t="s">
        <v>197</v>
      </c>
      <c r="C34">
        <v>1768</v>
      </c>
      <c r="D34">
        <v>285.596</v>
      </c>
      <c r="E34">
        <v>504933</v>
      </c>
      <c r="F34">
        <v>286</v>
      </c>
      <c r="G34">
        <v>504933</v>
      </c>
      <c r="H34">
        <v>219.77699999999999</v>
      </c>
      <c r="I34" t="s">
        <v>124</v>
      </c>
      <c r="K34" t="s">
        <v>161</v>
      </c>
      <c r="L34">
        <f>H34/4.95</f>
        <v>44.399393939393939</v>
      </c>
      <c r="M34" t="s">
        <v>16</v>
      </c>
      <c r="O34">
        <f t="shared" si="4"/>
        <v>0</v>
      </c>
    </row>
    <row r="35" spans="1:15" x14ac:dyDescent="0.45">
      <c r="A35">
        <v>1</v>
      </c>
      <c r="B35" t="s">
        <v>198</v>
      </c>
      <c r="C35">
        <v>3163</v>
      </c>
      <c r="D35">
        <v>313.51299999999998</v>
      </c>
      <c r="E35">
        <v>991641</v>
      </c>
      <c r="F35">
        <v>294</v>
      </c>
      <c r="G35">
        <v>991641</v>
      </c>
      <c r="H35">
        <v>394.45299999999997</v>
      </c>
      <c r="I35" t="s">
        <v>59</v>
      </c>
      <c r="J35" t="s">
        <v>27</v>
      </c>
      <c r="K35" t="s">
        <v>161</v>
      </c>
      <c r="L35">
        <f t="shared" si="0"/>
        <v>79.687474747474738</v>
      </c>
      <c r="M35" t="s">
        <v>17</v>
      </c>
      <c r="N35">
        <f>G35-(((G$43/C$43*C35)+(G$44/C$44*C35)+(G$45/C$45*C35))/3)</f>
        <v>86466.822182664648</v>
      </c>
      <c r="O35">
        <f t="shared" ref="O35:O42" si="8">N35/L35</f>
        <v>1085.0741908521168</v>
      </c>
    </row>
    <row r="36" spans="1:15" x14ac:dyDescent="0.45">
      <c r="A36">
        <v>2</v>
      </c>
      <c r="B36" t="s">
        <v>199</v>
      </c>
      <c r="C36">
        <v>3059</v>
      </c>
      <c r="D36">
        <v>334.57600000000002</v>
      </c>
      <c r="E36">
        <v>1023469</v>
      </c>
      <c r="F36">
        <v>305</v>
      </c>
      <c r="G36">
        <v>1023469</v>
      </c>
      <c r="H36">
        <v>382.351</v>
      </c>
      <c r="I36" t="s">
        <v>60</v>
      </c>
      <c r="J36" t="s">
        <v>27</v>
      </c>
      <c r="K36" t="s">
        <v>161</v>
      </c>
      <c r="L36">
        <f t="shared" si="0"/>
        <v>77.24262626262626</v>
      </c>
      <c r="M36" t="s">
        <v>17</v>
      </c>
      <c r="N36">
        <f t="shared" ref="N36:N42" si="9">G36-(((G$43/C$43*C36)+(G$44/C$44*C36)+(G$45/C$45*C36))/3)</f>
        <v>148057.10940776824</v>
      </c>
      <c r="O36">
        <f t="shared" si="8"/>
        <v>1916.7798477536421</v>
      </c>
    </row>
    <row r="37" spans="1:15" x14ac:dyDescent="0.45">
      <c r="A37">
        <v>3</v>
      </c>
      <c r="B37" t="s">
        <v>200</v>
      </c>
      <c r="C37">
        <v>2493</v>
      </c>
      <c r="D37">
        <v>311.12299999999999</v>
      </c>
      <c r="E37">
        <v>775629</v>
      </c>
      <c r="F37">
        <v>296</v>
      </c>
      <c r="G37">
        <v>775629</v>
      </c>
      <c r="H37">
        <v>310.63799999999998</v>
      </c>
      <c r="I37" t="s">
        <v>45</v>
      </c>
      <c r="J37" t="s">
        <v>27</v>
      </c>
      <c r="K37" t="s">
        <v>161</v>
      </c>
      <c r="L37">
        <f t="shared" si="0"/>
        <v>62.75515151515151</v>
      </c>
      <c r="M37" t="s">
        <v>17</v>
      </c>
      <c r="N37">
        <f t="shared" si="9"/>
        <v>62192.634113620967</v>
      </c>
      <c r="O37">
        <f t="shared" si="8"/>
        <v>991.03631513988569</v>
      </c>
    </row>
    <row r="38" spans="1:15" x14ac:dyDescent="0.45">
      <c r="A38">
        <v>4</v>
      </c>
      <c r="B38" t="s">
        <v>201</v>
      </c>
      <c r="C38">
        <v>3267</v>
      </c>
      <c r="D38">
        <v>335.93200000000002</v>
      </c>
      <c r="E38">
        <v>1097491</v>
      </c>
      <c r="F38">
        <v>302</v>
      </c>
      <c r="G38">
        <v>1097491</v>
      </c>
      <c r="H38">
        <v>407.91399999999999</v>
      </c>
      <c r="I38" t="s">
        <v>61</v>
      </c>
      <c r="J38" t="s">
        <v>27</v>
      </c>
      <c r="K38" t="s">
        <v>161</v>
      </c>
      <c r="L38">
        <f t="shared" si="0"/>
        <v>82.406868686868677</v>
      </c>
      <c r="M38" t="s">
        <v>17</v>
      </c>
      <c r="N38">
        <f t="shared" si="9"/>
        <v>162554.53495756083</v>
      </c>
      <c r="O38">
        <f t="shared" si="8"/>
        <v>1972.5847802231015</v>
      </c>
    </row>
    <row r="39" spans="1:15" x14ac:dyDescent="0.45">
      <c r="A39">
        <v>5</v>
      </c>
      <c r="B39" t="s">
        <v>202</v>
      </c>
      <c r="C39">
        <v>3020</v>
      </c>
      <c r="D39">
        <v>315.98399999999998</v>
      </c>
      <c r="E39">
        <v>954273</v>
      </c>
      <c r="F39">
        <v>294</v>
      </c>
      <c r="G39">
        <v>954273</v>
      </c>
      <c r="H39">
        <v>377.39800000000002</v>
      </c>
      <c r="I39" t="s">
        <v>62</v>
      </c>
      <c r="J39" t="s">
        <v>27</v>
      </c>
      <c r="K39" t="s">
        <v>161</v>
      </c>
      <c r="L39">
        <f t="shared" si="0"/>
        <v>76.2420202020202</v>
      </c>
      <c r="M39" t="s">
        <v>17</v>
      </c>
      <c r="N39">
        <f t="shared" si="9"/>
        <v>90021.967117182096</v>
      </c>
      <c r="O39">
        <f t="shared" si="8"/>
        <v>1180.7395302308209</v>
      </c>
    </row>
    <row r="40" spans="1:15" x14ac:dyDescent="0.45">
      <c r="A40">
        <v>6</v>
      </c>
      <c r="B40" t="s">
        <v>203</v>
      </c>
      <c r="C40">
        <v>2706</v>
      </c>
      <c r="D40">
        <v>303.80799999999999</v>
      </c>
      <c r="E40">
        <v>822105</v>
      </c>
      <c r="F40">
        <v>290</v>
      </c>
      <c r="G40">
        <v>822105</v>
      </c>
      <c r="H40">
        <v>337.339</v>
      </c>
      <c r="I40" t="s">
        <v>63</v>
      </c>
      <c r="J40" t="s">
        <v>27</v>
      </c>
      <c r="K40" t="s">
        <v>161</v>
      </c>
      <c r="L40">
        <f t="shared" si="0"/>
        <v>68.149292929292926</v>
      </c>
      <c r="M40" t="s">
        <v>17</v>
      </c>
      <c r="N40">
        <f t="shared" si="9"/>
        <v>47713.180469898973</v>
      </c>
      <c r="O40">
        <f t="shared" si="8"/>
        <v>700.12730021135985</v>
      </c>
    </row>
    <row r="41" spans="1:15" x14ac:dyDescent="0.45">
      <c r="A41">
        <v>7</v>
      </c>
      <c r="B41" t="s">
        <v>204</v>
      </c>
      <c r="C41">
        <v>2744</v>
      </c>
      <c r="D41">
        <v>303.85399999999998</v>
      </c>
      <c r="E41">
        <v>833775</v>
      </c>
      <c r="F41">
        <v>291</v>
      </c>
      <c r="G41">
        <v>833775</v>
      </c>
      <c r="H41">
        <v>342.97</v>
      </c>
      <c r="I41" t="s">
        <v>64</v>
      </c>
      <c r="J41" t="s">
        <v>27</v>
      </c>
      <c r="K41" t="s">
        <v>161</v>
      </c>
      <c r="L41">
        <f t="shared" si="0"/>
        <v>69.286868686868686</v>
      </c>
      <c r="M41" t="s">
        <v>17</v>
      </c>
      <c r="N41">
        <f t="shared" si="9"/>
        <v>48508.498599187937</v>
      </c>
      <c r="O41">
        <f t="shared" si="8"/>
        <v>700.11099532314859</v>
      </c>
    </row>
    <row r="42" spans="1:15" x14ac:dyDescent="0.45">
      <c r="A42">
        <v>8</v>
      </c>
      <c r="B42" t="s">
        <v>205</v>
      </c>
      <c r="C42">
        <v>3166</v>
      </c>
      <c r="D42">
        <v>318.25599999999997</v>
      </c>
      <c r="E42">
        <v>1007598</v>
      </c>
      <c r="F42">
        <v>295</v>
      </c>
      <c r="G42">
        <v>1007598</v>
      </c>
      <c r="H42">
        <v>395.428</v>
      </c>
      <c r="I42" t="s">
        <v>65</v>
      </c>
      <c r="J42" t="s">
        <v>27</v>
      </c>
      <c r="K42" t="s">
        <v>161</v>
      </c>
      <c r="L42">
        <f t="shared" si="0"/>
        <v>79.884444444444441</v>
      </c>
      <c r="M42" t="s">
        <v>17</v>
      </c>
      <c r="N42">
        <f t="shared" si="9"/>
        <v>101565.29466655583</v>
      </c>
      <c r="O42">
        <f t="shared" si="8"/>
        <v>1271.4026538319274</v>
      </c>
    </row>
    <row r="43" spans="1:15" x14ac:dyDescent="0.45">
      <c r="A43">
        <v>9</v>
      </c>
      <c r="B43" t="s">
        <v>206</v>
      </c>
      <c r="C43">
        <v>1606</v>
      </c>
      <c r="D43">
        <v>286.17399999999998</v>
      </c>
      <c r="E43">
        <v>459596</v>
      </c>
      <c r="F43">
        <v>286</v>
      </c>
      <c r="G43">
        <v>459596</v>
      </c>
      <c r="H43">
        <v>199.708</v>
      </c>
      <c r="I43" t="s">
        <v>124</v>
      </c>
      <c r="K43" t="s">
        <v>161</v>
      </c>
      <c r="L43">
        <f t="shared" si="0"/>
        <v>40.345050505050501</v>
      </c>
      <c r="M43" t="s">
        <v>17</v>
      </c>
      <c r="O43">
        <f t="shared" si="4"/>
        <v>0</v>
      </c>
    </row>
    <row r="44" spans="1:15" x14ac:dyDescent="0.45">
      <c r="A44">
        <v>10</v>
      </c>
      <c r="B44" t="s">
        <v>207</v>
      </c>
      <c r="C44">
        <v>1690</v>
      </c>
      <c r="D44">
        <v>286.06700000000001</v>
      </c>
      <c r="E44">
        <v>483454</v>
      </c>
      <c r="F44">
        <v>286</v>
      </c>
      <c r="G44">
        <v>483454</v>
      </c>
      <c r="H44">
        <v>210.15299999999999</v>
      </c>
      <c r="I44" t="s">
        <v>124</v>
      </c>
      <c r="K44" t="s">
        <v>161</v>
      </c>
      <c r="L44">
        <f t="shared" si="0"/>
        <v>42.455151515151513</v>
      </c>
      <c r="M44" t="s">
        <v>17</v>
      </c>
      <c r="O44">
        <f t="shared" si="4"/>
        <v>0</v>
      </c>
    </row>
    <row r="45" spans="1:15" x14ac:dyDescent="0.45">
      <c r="A45">
        <v>11</v>
      </c>
      <c r="B45" t="s">
        <v>208</v>
      </c>
      <c r="C45">
        <v>1764</v>
      </c>
      <c r="D45">
        <v>286.286</v>
      </c>
      <c r="E45">
        <v>505008</v>
      </c>
      <c r="F45">
        <v>286</v>
      </c>
      <c r="G45">
        <v>505008</v>
      </c>
      <c r="H45">
        <v>219.52799999999999</v>
      </c>
      <c r="I45" t="s">
        <v>124</v>
      </c>
      <c r="K45" t="s">
        <v>161</v>
      </c>
      <c r="L45">
        <f t="shared" si="0"/>
        <v>44.349090909090904</v>
      </c>
      <c r="M45" t="s">
        <v>17</v>
      </c>
      <c r="O45">
        <f t="shared" si="4"/>
        <v>0</v>
      </c>
    </row>
    <row r="46" spans="1:15" x14ac:dyDescent="0.45">
      <c r="A46">
        <v>1</v>
      </c>
      <c r="B46" t="s">
        <v>209</v>
      </c>
      <c r="C46">
        <v>2624</v>
      </c>
      <c r="D46">
        <v>329.17700000000002</v>
      </c>
      <c r="E46">
        <v>863760</v>
      </c>
      <c r="F46">
        <v>306</v>
      </c>
      <c r="G46">
        <v>863760</v>
      </c>
      <c r="H46">
        <v>326.41699999999997</v>
      </c>
      <c r="I46" t="s">
        <v>66</v>
      </c>
      <c r="J46" t="s">
        <v>27</v>
      </c>
      <c r="K46" t="s">
        <v>162</v>
      </c>
      <c r="L46">
        <f t="shared" si="0"/>
        <v>65.942828282828273</v>
      </c>
      <c r="M46" t="s">
        <v>19</v>
      </c>
      <c r="N46">
        <f>G46-(((G$54/C$54*C46)+(G$55/C$55*C46)+(G$56/C$56*C46))/3)</f>
        <v>111629.85472092696</v>
      </c>
      <c r="O46">
        <f>N46/L46</f>
        <v>1692.8278271921761</v>
      </c>
    </row>
    <row r="47" spans="1:15" x14ac:dyDescent="0.45">
      <c r="A47">
        <v>2</v>
      </c>
      <c r="B47" t="s">
        <v>210</v>
      </c>
      <c r="C47">
        <v>2723</v>
      </c>
      <c r="D47">
        <v>315.036</v>
      </c>
      <c r="E47">
        <v>857842</v>
      </c>
      <c r="F47">
        <v>296</v>
      </c>
      <c r="G47">
        <v>857842</v>
      </c>
      <c r="H47">
        <v>339.536</v>
      </c>
      <c r="I47" t="s">
        <v>67</v>
      </c>
      <c r="J47" t="s">
        <v>27</v>
      </c>
      <c r="K47" t="s">
        <v>162</v>
      </c>
      <c r="L47">
        <f t="shared" si="0"/>
        <v>68.593131313131309</v>
      </c>
      <c r="M47" t="s">
        <v>19</v>
      </c>
      <c r="N47">
        <f t="shared" ref="N47:N53" si="10">G47-(((G$54/C$54*C47)+(G$55/C$55*C47)+(G$56/C$56*C47))/3)</f>
        <v>77334.993294620537</v>
      </c>
      <c r="O47">
        <f>N47/L47</f>
        <v>1127.4451510542967</v>
      </c>
    </row>
    <row r="48" spans="1:15" x14ac:dyDescent="0.45">
      <c r="A48">
        <v>3</v>
      </c>
      <c r="B48" t="s">
        <v>211</v>
      </c>
      <c r="C48">
        <v>2537</v>
      </c>
      <c r="D48">
        <v>315.58300000000003</v>
      </c>
      <c r="E48">
        <v>800635</v>
      </c>
      <c r="F48">
        <v>298</v>
      </c>
      <c r="G48">
        <v>800635</v>
      </c>
      <c r="H48">
        <v>316.33800000000002</v>
      </c>
      <c r="I48" t="s">
        <v>68</v>
      </c>
      <c r="J48" t="s">
        <v>27</v>
      </c>
      <c r="K48" t="s">
        <v>162</v>
      </c>
      <c r="L48">
        <f t="shared" si="0"/>
        <v>63.906666666666666</v>
      </c>
      <c r="M48" t="s">
        <v>19</v>
      </c>
      <c r="N48">
        <f t="shared" si="10"/>
        <v>73442.096580408514</v>
      </c>
      <c r="O48">
        <f>N48/L48</f>
        <v>1149.2086884061421</v>
      </c>
    </row>
    <row r="49" spans="1:15" x14ac:dyDescent="0.45">
      <c r="A49">
        <v>4</v>
      </c>
      <c r="B49" t="s">
        <v>212</v>
      </c>
      <c r="C49">
        <v>3029</v>
      </c>
      <c r="D49">
        <v>337.60300000000001</v>
      </c>
      <c r="E49">
        <v>1022600</v>
      </c>
      <c r="F49">
        <v>316</v>
      </c>
      <c r="G49">
        <v>1022600</v>
      </c>
      <c r="H49">
        <v>377.87299999999999</v>
      </c>
      <c r="I49" t="s">
        <v>69</v>
      </c>
      <c r="J49" t="s">
        <v>27</v>
      </c>
      <c r="K49" t="s">
        <v>162</v>
      </c>
      <c r="L49">
        <f t="shared" si="0"/>
        <v>76.337979797979798</v>
      </c>
      <c r="M49" t="s">
        <v>19</v>
      </c>
      <c r="N49">
        <f t="shared" si="10"/>
        <v>154382.69434058235</v>
      </c>
      <c r="O49">
        <f t="shared" si="4"/>
        <v>2022.3576095298756</v>
      </c>
    </row>
    <row r="50" spans="1:15" x14ac:dyDescent="0.45">
      <c r="A50">
        <v>5</v>
      </c>
      <c r="B50" t="s">
        <v>213</v>
      </c>
      <c r="C50">
        <v>2883</v>
      </c>
      <c r="D50">
        <v>336.834</v>
      </c>
      <c r="E50">
        <v>971091</v>
      </c>
      <c r="F50">
        <v>314</v>
      </c>
      <c r="G50">
        <v>971091</v>
      </c>
      <c r="H50">
        <v>360.55500000000001</v>
      </c>
      <c r="I50" t="s">
        <v>46</v>
      </c>
      <c r="J50" t="s">
        <v>27</v>
      </c>
      <c r="K50" t="s">
        <v>162</v>
      </c>
      <c r="L50">
        <f t="shared" si="0"/>
        <v>72.839393939393943</v>
      </c>
      <c r="M50" t="s">
        <v>19</v>
      </c>
      <c r="N50">
        <f t="shared" si="10"/>
        <v>144722.39907028677</v>
      </c>
      <c r="O50">
        <f t="shared" si="4"/>
        <v>1986.8698961265811</v>
      </c>
    </row>
    <row r="51" spans="1:15" x14ac:dyDescent="0.45">
      <c r="A51">
        <v>6</v>
      </c>
      <c r="B51" t="s">
        <v>214</v>
      </c>
      <c r="C51">
        <v>2101</v>
      </c>
      <c r="D51">
        <v>297.08800000000002</v>
      </c>
      <c r="E51">
        <v>624182</v>
      </c>
      <c r="F51">
        <v>292</v>
      </c>
      <c r="G51">
        <v>624182</v>
      </c>
      <c r="H51">
        <v>261.697</v>
      </c>
      <c r="I51" t="s">
        <v>70</v>
      </c>
      <c r="J51" t="s">
        <v>27</v>
      </c>
      <c r="K51" t="s">
        <v>162</v>
      </c>
      <c r="L51">
        <f t="shared" si="0"/>
        <v>52.868080808080805</v>
      </c>
      <c r="M51" t="s">
        <v>19</v>
      </c>
      <c r="N51">
        <f t="shared" si="10"/>
        <v>21961.940841717762</v>
      </c>
      <c r="O51">
        <f t="shared" si="4"/>
        <v>415.41021550305476</v>
      </c>
    </row>
    <row r="52" spans="1:15" x14ac:dyDescent="0.45">
      <c r="A52">
        <v>7</v>
      </c>
      <c r="B52" t="s">
        <v>215</v>
      </c>
      <c r="C52">
        <v>2680</v>
      </c>
      <c r="D52">
        <v>312.48599999999999</v>
      </c>
      <c r="E52">
        <v>837462</v>
      </c>
      <c r="F52">
        <v>297</v>
      </c>
      <c r="G52">
        <v>837462</v>
      </c>
      <c r="H52">
        <v>333.988</v>
      </c>
      <c r="I52" t="s">
        <v>71</v>
      </c>
      <c r="J52" t="s">
        <v>27</v>
      </c>
      <c r="K52" t="s">
        <v>162</v>
      </c>
      <c r="L52">
        <f t="shared" si="0"/>
        <v>67.472323232323234</v>
      </c>
      <c r="M52" t="s">
        <v>19</v>
      </c>
      <c r="N52">
        <f t="shared" si="10"/>
        <v>69280.296742410283</v>
      </c>
      <c r="O52">
        <f t="shared" si="4"/>
        <v>1026.7957797134354</v>
      </c>
    </row>
    <row r="53" spans="1:15" x14ac:dyDescent="0.45">
      <c r="A53">
        <v>8</v>
      </c>
      <c r="B53" t="s">
        <v>216</v>
      </c>
      <c r="C53">
        <v>3211</v>
      </c>
      <c r="D53">
        <v>346.149</v>
      </c>
      <c r="E53">
        <v>1111484</v>
      </c>
      <c r="F53">
        <v>320</v>
      </c>
      <c r="G53">
        <v>1111484</v>
      </c>
      <c r="H53">
        <v>409.70299999999997</v>
      </c>
      <c r="I53" t="s">
        <v>72</v>
      </c>
      <c r="J53" t="s">
        <v>27</v>
      </c>
      <c r="K53" t="s">
        <v>162</v>
      </c>
      <c r="L53">
        <f t="shared" si="0"/>
        <v>82.768282828282821</v>
      </c>
      <c r="M53" t="s">
        <v>19</v>
      </c>
      <c r="N53">
        <f t="shared" si="10"/>
        <v>191099.13091040263</v>
      </c>
      <c r="O53">
        <f t="shared" si="4"/>
        <v>2308.8449389106086</v>
      </c>
    </row>
    <row r="54" spans="1:15" x14ac:dyDescent="0.45">
      <c r="A54">
        <v>9</v>
      </c>
      <c r="B54" t="s">
        <v>217</v>
      </c>
      <c r="C54">
        <v>1909</v>
      </c>
      <c r="D54">
        <v>286.60000000000002</v>
      </c>
      <c r="E54">
        <v>547120</v>
      </c>
      <c r="F54">
        <v>287</v>
      </c>
      <c r="G54">
        <v>547120</v>
      </c>
      <c r="H54">
        <v>237.613</v>
      </c>
      <c r="I54" t="s">
        <v>124</v>
      </c>
      <c r="K54" t="s">
        <v>162</v>
      </c>
      <c r="L54">
        <f t="shared" si="0"/>
        <v>48.002626262626258</v>
      </c>
      <c r="M54" t="s">
        <v>19</v>
      </c>
      <c r="O54">
        <f t="shared" si="4"/>
        <v>0</v>
      </c>
    </row>
    <row r="55" spans="1:15" x14ac:dyDescent="0.45">
      <c r="A55">
        <v>10</v>
      </c>
      <c r="B55" t="s">
        <v>218</v>
      </c>
      <c r="C55">
        <v>1749</v>
      </c>
      <c r="D55">
        <v>286.65800000000002</v>
      </c>
      <c r="E55">
        <v>501364</v>
      </c>
      <c r="F55">
        <v>287</v>
      </c>
      <c r="G55">
        <v>501364</v>
      </c>
      <c r="H55">
        <v>217.41900000000001</v>
      </c>
      <c r="I55" t="s">
        <v>124</v>
      </c>
      <c r="K55" t="s">
        <v>162</v>
      </c>
      <c r="L55">
        <f t="shared" si="0"/>
        <v>43.923030303030302</v>
      </c>
      <c r="M55" t="s">
        <v>19</v>
      </c>
      <c r="O55">
        <f t="shared" si="4"/>
        <v>0</v>
      </c>
    </row>
    <row r="56" spans="1:15" x14ac:dyDescent="0.45">
      <c r="A56">
        <v>11</v>
      </c>
      <c r="B56" t="s">
        <v>219</v>
      </c>
      <c r="C56">
        <v>1700</v>
      </c>
      <c r="D56">
        <v>286.64699999999999</v>
      </c>
      <c r="E56">
        <v>487300</v>
      </c>
      <c r="F56">
        <v>287</v>
      </c>
      <c r="G56">
        <v>487300</v>
      </c>
      <c r="H56">
        <v>211.452</v>
      </c>
      <c r="I56" t="s">
        <v>124</v>
      </c>
      <c r="K56" t="s">
        <v>162</v>
      </c>
      <c r="L56">
        <f t="shared" si="0"/>
        <v>42.717575757575759</v>
      </c>
      <c r="M56" t="s">
        <v>19</v>
      </c>
      <c r="O56">
        <f t="shared" si="4"/>
        <v>0</v>
      </c>
    </row>
    <row r="57" spans="1:15" x14ac:dyDescent="0.45">
      <c r="A57">
        <v>1</v>
      </c>
      <c r="B57" t="s">
        <v>220</v>
      </c>
      <c r="C57">
        <v>2934</v>
      </c>
      <c r="D57">
        <v>331.173</v>
      </c>
      <c r="E57">
        <v>971661</v>
      </c>
      <c r="F57">
        <v>309</v>
      </c>
      <c r="G57">
        <v>971661</v>
      </c>
      <c r="H57">
        <v>365.60599999999999</v>
      </c>
      <c r="I57" t="s">
        <v>73</v>
      </c>
      <c r="J57" t="s">
        <v>27</v>
      </c>
      <c r="K57" t="s">
        <v>162</v>
      </c>
      <c r="L57">
        <f t="shared" si="0"/>
        <v>73.859797979797975</v>
      </c>
      <c r="M57" t="s">
        <v>20</v>
      </c>
      <c r="N57">
        <f>G57-(((G$65/C$65*C57)+(G$66/C$66*C57)+(G$67/C$67*C57))/3)</f>
        <v>130948.48839317588</v>
      </c>
      <c r="O57">
        <f>N57/L57</f>
        <v>1772.9332055442762</v>
      </c>
    </row>
    <row r="58" spans="1:15" x14ac:dyDescent="0.45">
      <c r="A58">
        <v>2</v>
      </c>
      <c r="B58" t="s">
        <v>221</v>
      </c>
      <c r="C58">
        <v>2508</v>
      </c>
      <c r="D58">
        <v>321.38600000000002</v>
      </c>
      <c r="E58">
        <v>806037</v>
      </c>
      <c r="F58">
        <v>305</v>
      </c>
      <c r="G58">
        <v>806037</v>
      </c>
      <c r="H58">
        <v>312.661</v>
      </c>
      <c r="I58" t="s">
        <v>74</v>
      </c>
      <c r="J58" t="s">
        <v>27</v>
      </c>
      <c r="K58" t="s">
        <v>162</v>
      </c>
      <c r="L58">
        <f t="shared" si="0"/>
        <v>63.163838383838382</v>
      </c>
      <c r="M58" t="s">
        <v>20</v>
      </c>
      <c r="N58">
        <f t="shared" ref="N58:N64" si="11">G58-(((G$65/C$65*C58)+(G$66/C$66*C58)+(G$67/C$67*C58))/3)</f>
        <v>87391.131182714715</v>
      </c>
      <c r="O58">
        <f t="shared" si="4"/>
        <v>1383.5627064278494</v>
      </c>
    </row>
    <row r="59" spans="1:15" x14ac:dyDescent="0.45">
      <c r="A59">
        <v>3</v>
      </c>
      <c r="B59" t="s">
        <v>222</v>
      </c>
      <c r="C59">
        <v>3100</v>
      </c>
      <c r="D59">
        <v>345.46</v>
      </c>
      <c r="E59">
        <v>1070925</v>
      </c>
      <c r="F59">
        <v>323</v>
      </c>
      <c r="G59">
        <v>1070925</v>
      </c>
      <c r="H59">
        <v>386.827</v>
      </c>
      <c r="I59" t="s">
        <v>75</v>
      </c>
      <c r="J59" t="s">
        <v>27</v>
      </c>
      <c r="K59" t="s">
        <v>162</v>
      </c>
      <c r="L59">
        <f t="shared" si="0"/>
        <v>78.146868686868686</v>
      </c>
      <c r="M59" t="s">
        <v>20</v>
      </c>
      <c r="N59">
        <f t="shared" si="11"/>
        <v>182646.61350335553</v>
      </c>
      <c r="O59">
        <f t="shared" si="4"/>
        <v>2337.2224194319679</v>
      </c>
    </row>
    <row r="60" spans="1:15" x14ac:dyDescent="0.45">
      <c r="A60">
        <v>4</v>
      </c>
      <c r="B60" t="s">
        <v>223</v>
      </c>
      <c r="C60">
        <v>3127</v>
      </c>
      <c r="D60">
        <v>350.43799999999999</v>
      </c>
      <c r="E60">
        <v>1095819</v>
      </c>
      <c r="F60">
        <v>326</v>
      </c>
      <c r="G60">
        <v>1095819</v>
      </c>
      <c r="H60">
        <v>390.44099999999997</v>
      </c>
      <c r="I60" t="s">
        <v>76</v>
      </c>
      <c r="J60" t="s">
        <v>27</v>
      </c>
      <c r="K60" t="s">
        <v>162</v>
      </c>
      <c r="L60">
        <f t="shared" si="0"/>
        <v>78.876969696969695</v>
      </c>
      <c r="M60" t="s">
        <v>20</v>
      </c>
      <c r="N60">
        <f t="shared" si="11"/>
        <v>199803.99529838481</v>
      </c>
      <c r="O60">
        <f t="shared" si="4"/>
        <v>2533.1094242843474</v>
      </c>
    </row>
    <row r="61" spans="1:15" x14ac:dyDescent="0.45">
      <c r="A61">
        <v>5</v>
      </c>
      <c r="B61" t="s">
        <v>224</v>
      </c>
      <c r="C61">
        <v>2568</v>
      </c>
      <c r="D61">
        <v>348.28300000000002</v>
      </c>
      <c r="E61">
        <v>894390</v>
      </c>
      <c r="F61">
        <v>320</v>
      </c>
      <c r="G61">
        <v>894390</v>
      </c>
      <c r="H61">
        <v>319.93799999999999</v>
      </c>
      <c r="I61" t="s">
        <v>77</v>
      </c>
      <c r="J61" t="s">
        <v>27</v>
      </c>
      <c r="K61" t="s">
        <v>162</v>
      </c>
      <c r="L61">
        <f t="shared" si="0"/>
        <v>64.633939393939386</v>
      </c>
      <c r="M61" t="s">
        <v>20</v>
      </c>
      <c r="N61">
        <f t="shared" si="11"/>
        <v>158551.64628277963</v>
      </c>
      <c r="O61">
        <f t="shared" si="4"/>
        <v>2453.0710609548078</v>
      </c>
    </row>
    <row r="62" spans="1:15" x14ac:dyDescent="0.45">
      <c r="A62">
        <v>6</v>
      </c>
      <c r="B62" t="s">
        <v>225</v>
      </c>
      <c r="C62">
        <v>2127</v>
      </c>
      <c r="D62">
        <v>334.00400000000002</v>
      </c>
      <c r="E62">
        <v>710426</v>
      </c>
      <c r="F62">
        <v>304</v>
      </c>
      <c r="G62">
        <v>710426</v>
      </c>
      <c r="H62">
        <v>264.84699999999998</v>
      </c>
      <c r="I62" t="s">
        <v>78</v>
      </c>
      <c r="J62" t="s">
        <v>27</v>
      </c>
      <c r="K62" t="s">
        <v>162</v>
      </c>
      <c r="L62">
        <f t="shared" si="0"/>
        <v>53.504444444444438</v>
      </c>
      <c r="M62" t="s">
        <v>20</v>
      </c>
      <c r="N62">
        <f t="shared" si="11"/>
        <v>100952.41029730241</v>
      </c>
      <c r="O62">
        <f t="shared" si="4"/>
        <v>1886.8041962780285</v>
      </c>
    </row>
    <row r="63" spans="1:15" x14ac:dyDescent="0.45">
      <c r="A63">
        <v>7</v>
      </c>
      <c r="B63" t="s">
        <v>226</v>
      </c>
      <c r="C63">
        <v>2532</v>
      </c>
      <c r="D63">
        <v>313.07</v>
      </c>
      <c r="E63">
        <v>792692</v>
      </c>
      <c r="F63">
        <v>303</v>
      </c>
      <c r="G63">
        <v>792692</v>
      </c>
      <c r="H63">
        <v>315.40100000000001</v>
      </c>
      <c r="I63" t="s">
        <v>47</v>
      </c>
      <c r="J63" t="s">
        <v>27</v>
      </c>
      <c r="K63" t="s">
        <v>162</v>
      </c>
      <c r="L63">
        <f t="shared" si="0"/>
        <v>63.717373737373734</v>
      </c>
      <c r="M63" t="s">
        <v>20</v>
      </c>
      <c r="N63">
        <f t="shared" si="11"/>
        <v>67169.137222740799</v>
      </c>
      <c r="O63">
        <f t="shared" si="4"/>
        <v>1054.173034494396</v>
      </c>
    </row>
    <row r="64" spans="1:15" x14ac:dyDescent="0.45">
      <c r="A64">
        <v>8</v>
      </c>
      <c r="B64" t="s">
        <v>227</v>
      </c>
      <c r="C64">
        <v>2444</v>
      </c>
      <c r="D64">
        <v>334.315</v>
      </c>
      <c r="E64">
        <v>817067</v>
      </c>
      <c r="F64">
        <v>315</v>
      </c>
      <c r="G64">
        <v>817067</v>
      </c>
      <c r="H64">
        <v>304.70800000000003</v>
      </c>
      <c r="I64" t="s">
        <v>79</v>
      </c>
      <c r="J64" t="s">
        <v>27</v>
      </c>
      <c r="K64" t="s">
        <v>162</v>
      </c>
      <c r="L64">
        <f t="shared" si="0"/>
        <v>61.55717171717172</v>
      </c>
      <c r="M64" t="s">
        <v>20</v>
      </c>
      <c r="N64">
        <f t="shared" si="11"/>
        <v>116759.78174264543</v>
      </c>
      <c r="O64">
        <f t="shared" si="4"/>
        <v>1896.7697586741892</v>
      </c>
    </row>
    <row r="65" spans="1:15" x14ac:dyDescent="0.45">
      <c r="A65">
        <v>9</v>
      </c>
      <c r="B65" t="s">
        <v>228</v>
      </c>
      <c r="C65">
        <v>1592</v>
      </c>
      <c r="D65">
        <v>286.00099999999998</v>
      </c>
      <c r="E65">
        <v>455313</v>
      </c>
      <c r="F65">
        <v>286</v>
      </c>
      <c r="G65">
        <v>455313</v>
      </c>
      <c r="H65">
        <v>197.654</v>
      </c>
      <c r="I65" t="s">
        <v>124</v>
      </c>
      <c r="K65" t="s">
        <v>162</v>
      </c>
      <c r="L65">
        <f t="shared" si="0"/>
        <v>39.930101010101005</v>
      </c>
      <c r="M65" t="s">
        <v>20</v>
      </c>
      <c r="O65">
        <f t="shared" si="4"/>
        <v>0</v>
      </c>
    </row>
    <row r="66" spans="1:15" x14ac:dyDescent="0.45">
      <c r="A66">
        <v>10</v>
      </c>
      <c r="B66" t="s">
        <v>229</v>
      </c>
      <c r="C66">
        <v>1703</v>
      </c>
      <c r="D66">
        <v>286.53300000000002</v>
      </c>
      <c r="E66">
        <v>487965</v>
      </c>
      <c r="F66">
        <v>287</v>
      </c>
      <c r="G66">
        <v>487965</v>
      </c>
      <c r="H66">
        <v>212.25</v>
      </c>
      <c r="I66" t="s">
        <v>124</v>
      </c>
      <c r="K66" t="s">
        <v>162</v>
      </c>
      <c r="L66">
        <f t="shared" ref="L66:L129" si="12">H66/4.95</f>
        <v>42.878787878787875</v>
      </c>
      <c r="M66" t="s">
        <v>20</v>
      </c>
      <c r="O66">
        <f t="shared" si="4"/>
        <v>0</v>
      </c>
    </row>
    <row r="67" spans="1:15" x14ac:dyDescent="0.45">
      <c r="A67">
        <v>11</v>
      </c>
      <c r="B67" t="s">
        <v>230</v>
      </c>
      <c r="C67">
        <v>1538</v>
      </c>
      <c r="D67">
        <v>287.09100000000001</v>
      </c>
      <c r="E67">
        <v>441546</v>
      </c>
      <c r="F67">
        <v>287</v>
      </c>
      <c r="G67">
        <v>441546</v>
      </c>
      <c r="H67">
        <v>191.02799999999999</v>
      </c>
      <c r="I67" t="s">
        <v>124</v>
      </c>
      <c r="K67" t="s">
        <v>162</v>
      </c>
      <c r="L67">
        <f t="shared" si="12"/>
        <v>38.591515151515146</v>
      </c>
      <c r="M67" t="s">
        <v>20</v>
      </c>
      <c r="O67">
        <f t="shared" si="4"/>
        <v>0</v>
      </c>
    </row>
    <row r="68" spans="1:15" x14ac:dyDescent="0.45">
      <c r="A68">
        <v>1</v>
      </c>
      <c r="B68" t="s">
        <v>231</v>
      </c>
      <c r="C68">
        <v>2333</v>
      </c>
      <c r="D68">
        <v>344.245</v>
      </c>
      <c r="E68">
        <v>803123</v>
      </c>
      <c r="F68">
        <v>318</v>
      </c>
      <c r="G68">
        <v>803123</v>
      </c>
      <c r="H68">
        <v>291.49200000000002</v>
      </c>
      <c r="I68" t="s">
        <v>80</v>
      </c>
      <c r="J68" t="s">
        <v>27</v>
      </c>
      <c r="K68" t="s">
        <v>162</v>
      </c>
      <c r="L68">
        <f t="shared" si="12"/>
        <v>58.88727272727273</v>
      </c>
      <c r="M68" t="s">
        <v>21</v>
      </c>
      <c r="N68">
        <f>G68-(((G$76/C$76*C68)+(G$77/C$77*C68)+(G$78/C$78*C68))/3)</f>
        <v>133283.8024574169</v>
      </c>
      <c r="O68">
        <f>N68/L68</f>
        <v>2263.3719696053877</v>
      </c>
    </row>
    <row r="69" spans="1:15" x14ac:dyDescent="0.45">
      <c r="A69">
        <v>2</v>
      </c>
      <c r="B69" t="s">
        <v>232</v>
      </c>
      <c r="C69">
        <v>2319</v>
      </c>
      <c r="D69">
        <v>351.74</v>
      </c>
      <c r="E69">
        <v>815686</v>
      </c>
      <c r="F69">
        <v>325</v>
      </c>
      <c r="G69">
        <v>815686</v>
      </c>
      <c r="H69">
        <v>288.75900000000001</v>
      </c>
      <c r="I69" t="s">
        <v>81</v>
      </c>
      <c r="J69" t="s">
        <v>27</v>
      </c>
      <c r="K69" t="s">
        <v>162</v>
      </c>
      <c r="L69">
        <f t="shared" si="12"/>
        <v>58.335151515151516</v>
      </c>
      <c r="M69" t="s">
        <v>21</v>
      </c>
      <c r="N69">
        <f t="shared" ref="N69:N75" si="13">G69-(((G$76/C$76*C69)+(G$77/C$77*C69)+(G$78/C$78*C69))/3)</f>
        <v>149866.41187258891</v>
      </c>
      <c r="O69">
        <f>N69/L69</f>
        <v>2569.0584146963906</v>
      </c>
    </row>
    <row r="70" spans="1:15" x14ac:dyDescent="0.45">
      <c r="A70">
        <v>3</v>
      </c>
      <c r="B70" t="s">
        <v>233</v>
      </c>
      <c r="C70">
        <v>2578</v>
      </c>
      <c r="D70">
        <v>340.4</v>
      </c>
      <c r="E70">
        <v>877551</v>
      </c>
      <c r="F70">
        <v>319</v>
      </c>
      <c r="G70">
        <v>877551</v>
      </c>
      <c r="H70">
        <v>322.92</v>
      </c>
      <c r="I70" t="s">
        <v>82</v>
      </c>
      <c r="J70" t="s">
        <v>27</v>
      </c>
      <c r="K70" t="s">
        <v>162</v>
      </c>
      <c r="L70">
        <f t="shared" si="12"/>
        <v>65.236363636363635</v>
      </c>
      <c r="M70" t="s">
        <v>21</v>
      </c>
      <c r="N70">
        <f t="shared" si="13"/>
        <v>137368.6376919077</v>
      </c>
      <c r="O70">
        <f t="shared" si="4"/>
        <v>2105.7065421000343</v>
      </c>
    </row>
    <row r="71" spans="1:15" x14ac:dyDescent="0.45">
      <c r="A71">
        <v>4</v>
      </c>
      <c r="B71" t="s">
        <v>234</v>
      </c>
      <c r="C71">
        <v>3139</v>
      </c>
      <c r="D71">
        <v>380.98599999999999</v>
      </c>
      <c r="E71">
        <v>1195915</v>
      </c>
      <c r="F71">
        <v>357</v>
      </c>
      <c r="G71">
        <v>1195915</v>
      </c>
      <c r="H71">
        <v>393.71699999999998</v>
      </c>
      <c r="I71" t="s">
        <v>83</v>
      </c>
      <c r="J71" t="s">
        <v>27</v>
      </c>
      <c r="K71" t="s">
        <v>162</v>
      </c>
      <c r="L71">
        <f t="shared" si="12"/>
        <v>79.538787878787872</v>
      </c>
      <c r="M71" t="s">
        <v>21</v>
      </c>
      <c r="N71">
        <f t="shared" si="13"/>
        <v>294661.14612680301</v>
      </c>
      <c r="O71">
        <f t="shared" si="4"/>
        <v>3704.6220339169377</v>
      </c>
    </row>
    <row r="72" spans="1:15" x14ac:dyDescent="0.45">
      <c r="A72">
        <v>5</v>
      </c>
      <c r="B72" t="s">
        <v>235</v>
      </c>
      <c r="C72">
        <v>3264</v>
      </c>
      <c r="D72">
        <v>394.50400000000002</v>
      </c>
      <c r="E72">
        <v>1287661</v>
      </c>
      <c r="F72">
        <v>370</v>
      </c>
      <c r="G72">
        <v>1287661</v>
      </c>
      <c r="H72">
        <v>407.12700000000001</v>
      </c>
      <c r="I72" t="s">
        <v>84</v>
      </c>
      <c r="J72" t="s">
        <v>27</v>
      </c>
      <c r="K72" t="s">
        <v>162</v>
      </c>
      <c r="L72">
        <f t="shared" si="12"/>
        <v>82.24787878787879</v>
      </c>
      <c r="M72" t="s">
        <v>21</v>
      </c>
      <c r="N72">
        <f t="shared" si="13"/>
        <v>350517.77634848224</v>
      </c>
      <c r="O72">
        <f t="shared" si="4"/>
        <v>4261.7242111797723</v>
      </c>
    </row>
    <row r="73" spans="1:15" x14ac:dyDescent="0.45">
      <c r="A73">
        <v>6</v>
      </c>
      <c r="B73" t="s">
        <v>236</v>
      </c>
      <c r="C73">
        <v>2956</v>
      </c>
      <c r="D73">
        <v>342.17700000000002</v>
      </c>
      <c r="E73">
        <v>1011475</v>
      </c>
      <c r="F73">
        <v>313</v>
      </c>
      <c r="G73">
        <v>1011475</v>
      </c>
      <c r="H73">
        <v>368.63900000000001</v>
      </c>
      <c r="I73" t="s">
        <v>85</v>
      </c>
      <c r="J73" t="s">
        <v>27</v>
      </c>
      <c r="K73" t="s">
        <v>162</v>
      </c>
      <c r="L73">
        <f t="shared" si="12"/>
        <v>74.472525252525259</v>
      </c>
      <c r="M73" t="s">
        <v>21</v>
      </c>
      <c r="N73">
        <f t="shared" si="13"/>
        <v>162763.1834822651</v>
      </c>
      <c r="O73">
        <f t="shared" si="4"/>
        <v>2185.546722504163</v>
      </c>
    </row>
    <row r="74" spans="1:15" x14ac:dyDescent="0.45">
      <c r="A74">
        <v>7</v>
      </c>
      <c r="B74" t="s">
        <v>237</v>
      </c>
      <c r="C74">
        <v>1980</v>
      </c>
      <c r="D74">
        <v>312.99099999999999</v>
      </c>
      <c r="E74">
        <v>619722</v>
      </c>
      <c r="F74">
        <v>301</v>
      </c>
      <c r="G74">
        <v>619722</v>
      </c>
      <c r="H74">
        <v>246.39</v>
      </c>
      <c r="I74" t="s">
        <v>86</v>
      </c>
      <c r="J74" t="s">
        <v>27</v>
      </c>
      <c r="K74" t="s">
        <v>162</v>
      </c>
      <c r="L74">
        <f t="shared" si="12"/>
        <v>49.775757575757574</v>
      </c>
      <c r="M74" t="s">
        <v>21</v>
      </c>
      <c r="N74">
        <f t="shared" si="13"/>
        <v>51234.382711395505</v>
      </c>
      <c r="O74">
        <f t="shared" si="4"/>
        <v>1029.3039263825958</v>
      </c>
    </row>
    <row r="75" spans="1:15" x14ac:dyDescent="0.45">
      <c r="A75">
        <v>8</v>
      </c>
      <c r="B75" t="s">
        <v>238</v>
      </c>
      <c r="C75">
        <v>2845</v>
      </c>
      <c r="D75">
        <v>319.30900000000003</v>
      </c>
      <c r="E75">
        <v>908434</v>
      </c>
      <c r="F75">
        <v>304</v>
      </c>
      <c r="G75">
        <v>908434</v>
      </c>
      <c r="H75">
        <v>355.53800000000001</v>
      </c>
      <c r="I75" t="s">
        <v>87</v>
      </c>
      <c r="J75" t="s">
        <v>27</v>
      </c>
      <c r="K75" t="s">
        <v>162</v>
      </c>
      <c r="L75">
        <f t="shared" si="12"/>
        <v>71.825858585858583</v>
      </c>
      <c r="M75" t="s">
        <v>21</v>
      </c>
      <c r="N75">
        <f t="shared" si="13"/>
        <v>91591.943845414091</v>
      </c>
      <c r="O75">
        <f t="shared" si="4"/>
        <v>1275.1945559540745</v>
      </c>
    </row>
    <row r="76" spans="1:15" x14ac:dyDescent="0.45">
      <c r="A76">
        <v>9</v>
      </c>
      <c r="B76" t="s">
        <v>239</v>
      </c>
      <c r="C76">
        <v>1510</v>
      </c>
      <c r="D76">
        <v>286.12</v>
      </c>
      <c r="E76">
        <v>432041</v>
      </c>
      <c r="F76">
        <v>286</v>
      </c>
      <c r="G76">
        <v>432041</v>
      </c>
      <c r="H76">
        <v>188.07900000000001</v>
      </c>
      <c r="I76" t="s">
        <v>124</v>
      </c>
      <c r="K76" t="s">
        <v>162</v>
      </c>
      <c r="L76">
        <f t="shared" si="12"/>
        <v>37.995757575757573</v>
      </c>
      <c r="M76" t="s">
        <v>21</v>
      </c>
      <c r="O76">
        <f t="shared" si="4"/>
        <v>0</v>
      </c>
    </row>
    <row r="77" spans="1:15" x14ac:dyDescent="0.45">
      <c r="A77">
        <v>10</v>
      </c>
      <c r="B77" t="s">
        <v>240</v>
      </c>
      <c r="C77">
        <v>1665</v>
      </c>
      <c r="D77">
        <v>286.88</v>
      </c>
      <c r="E77">
        <v>477655</v>
      </c>
      <c r="F77">
        <v>287</v>
      </c>
      <c r="G77">
        <v>477655</v>
      </c>
      <c r="H77">
        <v>207.29499999999999</v>
      </c>
      <c r="I77" t="s">
        <v>124</v>
      </c>
      <c r="K77" t="s">
        <v>162</v>
      </c>
      <c r="L77">
        <f t="shared" si="12"/>
        <v>41.877777777777773</v>
      </c>
      <c r="M77" t="s">
        <v>21</v>
      </c>
      <c r="O77">
        <f t="shared" ref="O77:O140" si="14">N77/L77</f>
        <v>0</v>
      </c>
    </row>
    <row r="78" spans="1:15" x14ac:dyDescent="0.45">
      <c r="A78">
        <v>11</v>
      </c>
      <c r="B78" t="s">
        <v>241</v>
      </c>
      <c r="C78">
        <v>1611</v>
      </c>
      <c r="D78">
        <v>288.34500000000003</v>
      </c>
      <c r="E78">
        <v>464524</v>
      </c>
      <c r="F78">
        <v>288</v>
      </c>
      <c r="G78">
        <v>464524</v>
      </c>
      <c r="H78">
        <v>200.65299999999999</v>
      </c>
      <c r="I78" t="s">
        <v>124</v>
      </c>
      <c r="K78" t="s">
        <v>162</v>
      </c>
      <c r="L78">
        <f t="shared" si="12"/>
        <v>40.535959595959589</v>
      </c>
      <c r="M78" t="s">
        <v>21</v>
      </c>
      <c r="O78">
        <f t="shared" si="14"/>
        <v>0</v>
      </c>
    </row>
    <row r="79" spans="1:15" x14ac:dyDescent="0.45">
      <c r="A79">
        <v>1</v>
      </c>
      <c r="B79" t="s">
        <v>242</v>
      </c>
      <c r="C79">
        <v>3167</v>
      </c>
      <c r="D79">
        <v>331.65499999999997</v>
      </c>
      <c r="E79">
        <v>1050350</v>
      </c>
      <c r="F79">
        <v>309</v>
      </c>
      <c r="G79">
        <v>1050350</v>
      </c>
      <c r="H79">
        <v>394.88099999999997</v>
      </c>
      <c r="I79" t="s">
        <v>48</v>
      </c>
      <c r="J79" t="s">
        <v>27</v>
      </c>
      <c r="K79" t="s">
        <v>162</v>
      </c>
      <c r="L79">
        <f t="shared" si="12"/>
        <v>79.773939393939386</v>
      </c>
      <c r="M79" t="s">
        <v>22</v>
      </c>
      <c r="N79">
        <f t="shared" ref="N79:N86" si="15">G79-(((G$87/C$87*C79)+(G$88/C$88*C79)+(G$89/C$89*C79))/3)</f>
        <v>142448.31881775835</v>
      </c>
      <c r="O79">
        <f t="shared" si="14"/>
        <v>1785.6497986682164</v>
      </c>
    </row>
    <row r="80" spans="1:15" x14ac:dyDescent="0.45">
      <c r="A80">
        <v>2</v>
      </c>
      <c r="B80" t="s">
        <v>243</v>
      </c>
      <c r="C80">
        <v>2370</v>
      </c>
      <c r="D80">
        <v>349.22399999999999</v>
      </c>
      <c r="E80">
        <v>827660</v>
      </c>
      <c r="F80">
        <v>321</v>
      </c>
      <c r="G80">
        <v>827660</v>
      </c>
      <c r="H80">
        <v>296.00799999999998</v>
      </c>
      <c r="I80" t="s">
        <v>88</v>
      </c>
      <c r="J80" t="s">
        <v>27</v>
      </c>
      <c r="K80" t="s">
        <v>162</v>
      </c>
      <c r="L80">
        <f t="shared" si="12"/>
        <v>59.799595959595955</v>
      </c>
      <c r="M80" t="s">
        <v>22</v>
      </c>
      <c r="N80">
        <f t="shared" si="15"/>
        <v>148238.78610612161</v>
      </c>
      <c r="O80">
        <f t="shared" si="14"/>
        <v>2478.9262155931665</v>
      </c>
    </row>
    <row r="81" spans="1:15" x14ac:dyDescent="0.45">
      <c r="A81">
        <v>3</v>
      </c>
      <c r="B81" t="s">
        <v>244</v>
      </c>
      <c r="C81">
        <v>2659</v>
      </c>
      <c r="D81">
        <v>355.84800000000001</v>
      </c>
      <c r="E81">
        <v>946199</v>
      </c>
      <c r="F81">
        <v>329</v>
      </c>
      <c r="G81">
        <v>946199</v>
      </c>
      <c r="H81">
        <v>332.07</v>
      </c>
      <c r="I81" t="s">
        <v>89</v>
      </c>
      <c r="J81" t="s">
        <v>27</v>
      </c>
      <c r="K81" t="s">
        <v>162</v>
      </c>
      <c r="L81">
        <f t="shared" si="12"/>
        <v>67.084848484848479</v>
      </c>
      <c r="M81" t="s">
        <v>22</v>
      </c>
      <c r="N81">
        <f t="shared" si="15"/>
        <v>183928.53259754321</v>
      </c>
      <c r="O81">
        <f t="shared" si="14"/>
        <v>2741.7298652628633</v>
      </c>
    </row>
    <row r="82" spans="1:15" x14ac:dyDescent="0.45">
      <c r="A82">
        <v>4</v>
      </c>
      <c r="B82" t="s">
        <v>245</v>
      </c>
      <c r="C82">
        <v>2609</v>
      </c>
      <c r="D82">
        <v>329.79</v>
      </c>
      <c r="E82">
        <v>860422</v>
      </c>
      <c r="F82">
        <v>311</v>
      </c>
      <c r="G82">
        <v>860422</v>
      </c>
      <c r="H82">
        <v>324.55200000000002</v>
      </c>
      <c r="I82" t="s">
        <v>90</v>
      </c>
      <c r="J82" t="s">
        <v>27</v>
      </c>
      <c r="K82" t="s">
        <v>162</v>
      </c>
      <c r="L82">
        <f t="shared" si="12"/>
        <v>65.566060606060603</v>
      </c>
      <c r="M82" t="s">
        <v>22</v>
      </c>
      <c r="N82">
        <f t="shared" si="15"/>
        <v>112485.31348138035</v>
      </c>
      <c r="O82">
        <f t="shared" si="14"/>
        <v>1715.6027438833614</v>
      </c>
    </row>
    <row r="83" spans="1:15" x14ac:dyDescent="0.45">
      <c r="A83">
        <v>5</v>
      </c>
      <c r="B83" t="s">
        <v>246</v>
      </c>
      <c r="C83">
        <v>1730</v>
      </c>
      <c r="D83">
        <v>296.505</v>
      </c>
      <c r="E83">
        <v>512954</v>
      </c>
      <c r="F83">
        <v>291</v>
      </c>
      <c r="G83">
        <v>512954</v>
      </c>
      <c r="H83">
        <v>215.18</v>
      </c>
      <c r="I83" t="s">
        <v>91</v>
      </c>
      <c r="J83" t="s">
        <v>27</v>
      </c>
      <c r="K83" t="s">
        <v>162</v>
      </c>
      <c r="L83">
        <f t="shared" si="12"/>
        <v>43.470707070707071</v>
      </c>
      <c r="M83" t="s">
        <v>22</v>
      </c>
      <c r="N83">
        <f t="shared" si="15"/>
        <v>17005.181419236527</v>
      </c>
      <c r="O83">
        <f t="shared" si="14"/>
        <v>391.18713646816997</v>
      </c>
    </row>
    <row r="84" spans="1:15" x14ac:dyDescent="0.45">
      <c r="A84">
        <v>6</v>
      </c>
      <c r="B84" t="s">
        <v>247</v>
      </c>
      <c r="C84">
        <v>2327</v>
      </c>
      <c r="D84">
        <v>324.12400000000002</v>
      </c>
      <c r="E84">
        <v>754237</v>
      </c>
      <c r="F84">
        <v>298</v>
      </c>
      <c r="G84">
        <v>754237</v>
      </c>
      <c r="H84">
        <v>290.34100000000001</v>
      </c>
      <c r="I84" t="s">
        <v>92</v>
      </c>
      <c r="J84" t="s">
        <v>27</v>
      </c>
      <c r="K84" t="s">
        <v>162</v>
      </c>
      <c r="L84">
        <f t="shared" si="12"/>
        <v>58.654747474747474</v>
      </c>
      <c r="M84" t="s">
        <v>22</v>
      </c>
      <c r="N84">
        <f t="shared" si="15"/>
        <v>87142.837666221545</v>
      </c>
      <c r="O84">
        <f t="shared" si="14"/>
        <v>1485.6911233611397</v>
      </c>
    </row>
    <row r="85" spans="1:15" x14ac:dyDescent="0.45">
      <c r="A85">
        <v>7</v>
      </c>
      <c r="B85" t="s">
        <v>248</v>
      </c>
      <c r="C85">
        <v>2447</v>
      </c>
      <c r="D85">
        <v>313.04700000000003</v>
      </c>
      <c r="E85">
        <v>766026</v>
      </c>
      <c r="F85">
        <v>297</v>
      </c>
      <c r="G85">
        <v>766026</v>
      </c>
      <c r="H85">
        <v>305.09399999999999</v>
      </c>
      <c r="I85" t="s">
        <v>93</v>
      </c>
      <c r="J85" t="s">
        <v>27</v>
      </c>
      <c r="K85" t="s">
        <v>162</v>
      </c>
      <c r="L85">
        <f t="shared" si="12"/>
        <v>61.635151515151513</v>
      </c>
      <c r="M85" t="s">
        <v>22</v>
      </c>
      <c r="N85">
        <f t="shared" si="15"/>
        <v>64530.763545012451</v>
      </c>
      <c r="O85">
        <f t="shared" si="14"/>
        <v>1046.9798801281299</v>
      </c>
    </row>
    <row r="86" spans="1:15" x14ac:dyDescent="0.45">
      <c r="A86">
        <v>8</v>
      </c>
      <c r="B86" t="s">
        <v>249</v>
      </c>
      <c r="C86">
        <v>3060</v>
      </c>
      <c r="D86">
        <v>356.97</v>
      </c>
      <c r="E86">
        <v>1092329</v>
      </c>
      <c r="F86">
        <v>321</v>
      </c>
      <c r="G86">
        <v>1092329</v>
      </c>
      <c r="H86">
        <v>381.63600000000002</v>
      </c>
      <c r="I86" t="s">
        <v>94</v>
      </c>
      <c r="J86" t="s">
        <v>27</v>
      </c>
      <c r="K86" t="s">
        <v>162</v>
      </c>
      <c r="L86">
        <f t="shared" si="12"/>
        <v>77.098181818181814</v>
      </c>
      <c r="M86" t="s">
        <v>22</v>
      </c>
      <c r="N86">
        <f t="shared" si="15"/>
        <v>215101.60990916973</v>
      </c>
      <c r="O86">
        <f t="shared" si="14"/>
        <v>2789.9699426951079</v>
      </c>
    </row>
    <row r="87" spans="1:15" x14ac:dyDescent="0.45">
      <c r="A87">
        <v>9</v>
      </c>
      <c r="B87" t="s">
        <v>250</v>
      </c>
      <c r="C87">
        <v>1636</v>
      </c>
      <c r="D87">
        <v>286.45800000000003</v>
      </c>
      <c r="E87">
        <v>468645</v>
      </c>
      <c r="F87">
        <v>286</v>
      </c>
      <c r="G87">
        <v>468645</v>
      </c>
      <c r="H87">
        <v>203.011</v>
      </c>
      <c r="I87" t="s">
        <v>124</v>
      </c>
      <c r="K87" t="s">
        <v>162</v>
      </c>
      <c r="L87">
        <f t="shared" si="12"/>
        <v>41.012323232323233</v>
      </c>
      <c r="M87" t="s">
        <v>22</v>
      </c>
      <c r="O87">
        <f t="shared" si="14"/>
        <v>0</v>
      </c>
    </row>
    <row r="88" spans="1:15" x14ac:dyDescent="0.45">
      <c r="A88">
        <v>10</v>
      </c>
      <c r="B88" t="s">
        <v>251</v>
      </c>
      <c r="C88">
        <v>2035</v>
      </c>
      <c r="D88">
        <v>286.75599999999997</v>
      </c>
      <c r="E88">
        <v>583549</v>
      </c>
      <c r="F88">
        <v>287</v>
      </c>
      <c r="G88">
        <v>583549</v>
      </c>
      <c r="H88">
        <v>253.15</v>
      </c>
      <c r="I88" t="s">
        <v>124</v>
      </c>
      <c r="K88" t="s">
        <v>162</v>
      </c>
      <c r="L88">
        <f t="shared" si="12"/>
        <v>51.141414141414138</v>
      </c>
      <c r="M88" t="s">
        <v>22</v>
      </c>
      <c r="O88">
        <f t="shared" si="14"/>
        <v>0</v>
      </c>
    </row>
    <row r="89" spans="1:15" x14ac:dyDescent="0.45">
      <c r="A89">
        <v>11</v>
      </c>
      <c r="B89" t="s">
        <v>252</v>
      </c>
      <c r="C89">
        <v>1896</v>
      </c>
      <c r="D89">
        <v>286.81299999999999</v>
      </c>
      <c r="E89">
        <v>543797</v>
      </c>
      <c r="F89">
        <v>287</v>
      </c>
      <c r="G89">
        <v>543797</v>
      </c>
      <c r="H89">
        <v>235.80500000000001</v>
      </c>
      <c r="I89" t="s">
        <v>124</v>
      </c>
      <c r="K89" t="s">
        <v>162</v>
      </c>
      <c r="L89">
        <f t="shared" si="12"/>
        <v>47.637373737373736</v>
      </c>
      <c r="M89" t="s">
        <v>22</v>
      </c>
      <c r="O89">
        <f t="shared" si="14"/>
        <v>0</v>
      </c>
    </row>
    <row r="90" spans="1:15" x14ac:dyDescent="0.45">
      <c r="A90">
        <v>1</v>
      </c>
      <c r="B90" t="s">
        <v>253</v>
      </c>
      <c r="C90">
        <v>3111</v>
      </c>
      <c r="D90">
        <v>339.43099999999998</v>
      </c>
      <c r="E90">
        <v>1055970</v>
      </c>
      <c r="F90">
        <v>316</v>
      </c>
      <c r="G90">
        <v>1055970</v>
      </c>
      <c r="H90">
        <v>387.96699999999998</v>
      </c>
      <c r="I90" t="s">
        <v>95</v>
      </c>
      <c r="J90" t="s">
        <v>27</v>
      </c>
      <c r="K90" t="s">
        <v>163</v>
      </c>
      <c r="L90">
        <f t="shared" si="12"/>
        <v>78.377171717171706</v>
      </c>
      <c r="M90" t="s">
        <v>23</v>
      </c>
      <c r="N90">
        <f t="shared" ref="N90:N97" si="16">G90-(((G$98/C$98*C90)+(G$99/C$99*C90)+(G$100/C$100*C90))/3)</f>
        <v>161855.69326953788</v>
      </c>
      <c r="O90">
        <f t="shared" si="14"/>
        <v>2065.0871895914152</v>
      </c>
    </row>
    <row r="91" spans="1:15" x14ac:dyDescent="0.45">
      <c r="A91">
        <v>2</v>
      </c>
      <c r="B91" t="s">
        <v>254</v>
      </c>
      <c r="C91">
        <v>3022</v>
      </c>
      <c r="D91">
        <v>341.14800000000002</v>
      </c>
      <c r="E91">
        <v>1030950</v>
      </c>
      <c r="F91">
        <v>320</v>
      </c>
      <c r="G91">
        <v>1030950</v>
      </c>
      <c r="H91">
        <v>376.75299999999999</v>
      </c>
      <c r="I91" t="s">
        <v>96</v>
      </c>
      <c r="J91" t="s">
        <v>27</v>
      </c>
      <c r="K91" t="s">
        <v>163</v>
      </c>
      <c r="L91">
        <f t="shared" si="12"/>
        <v>76.11171717171716</v>
      </c>
      <c r="M91" t="s">
        <v>23</v>
      </c>
      <c r="N91">
        <f t="shared" si="16"/>
        <v>162414.66250740725</v>
      </c>
      <c r="O91">
        <f t="shared" si="14"/>
        <v>2133.8982819291846</v>
      </c>
    </row>
    <row r="92" spans="1:15" x14ac:dyDescent="0.45">
      <c r="A92">
        <v>3</v>
      </c>
      <c r="B92" t="s">
        <v>255</v>
      </c>
      <c r="C92">
        <v>2849</v>
      </c>
      <c r="D92">
        <v>336.63499999999999</v>
      </c>
      <c r="E92">
        <v>959073</v>
      </c>
      <c r="F92">
        <v>317</v>
      </c>
      <c r="G92">
        <v>959073</v>
      </c>
      <c r="H92">
        <v>355.09300000000002</v>
      </c>
      <c r="I92" t="s">
        <v>49</v>
      </c>
      <c r="J92" t="s">
        <v>27</v>
      </c>
      <c r="K92" t="s">
        <v>163</v>
      </c>
      <c r="L92">
        <f t="shared" si="12"/>
        <v>71.735959595959599</v>
      </c>
      <c r="M92" t="s">
        <v>23</v>
      </c>
      <c r="N92">
        <f t="shared" si="16"/>
        <v>140258.58023944497</v>
      </c>
      <c r="O92">
        <f t="shared" si="14"/>
        <v>1955.2060226060569</v>
      </c>
    </row>
    <row r="93" spans="1:15" x14ac:dyDescent="0.45">
      <c r="A93">
        <v>4</v>
      </c>
      <c r="B93" t="s">
        <v>256</v>
      </c>
      <c r="C93">
        <v>2829</v>
      </c>
      <c r="D93">
        <v>343.45400000000001</v>
      </c>
      <c r="E93">
        <v>971630</v>
      </c>
      <c r="F93">
        <v>323</v>
      </c>
      <c r="G93">
        <v>971630</v>
      </c>
      <c r="H93">
        <v>351.86099999999999</v>
      </c>
      <c r="I93" t="s">
        <v>97</v>
      </c>
      <c r="J93" t="s">
        <v>27</v>
      </c>
      <c r="K93" t="s">
        <v>163</v>
      </c>
      <c r="L93">
        <f t="shared" si="12"/>
        <v>71.083030303030299</v>
      </c>
      <c r="M93" t="s">
        <v>23</v>
      </c>
      <c r="N93">
        <f t="shared" si="16"/>
        <v>158563.66321424709</v>
      </c>
      <c r="O93">
        <f t="shared" si="14"/>
        <v>2230.6823800038173</v>
      </c>
    </row>
    <row r="94" spans="1:15" x14ac:dyDescent="0.45">
      <c r="A94">
        <v>5</v>
      </c>
      <c r="B94" t="s">
        <v>257</v>
      </c>
      <c r="C94">
        <v>2255</v>
      </c>
      <c r="D94">
        <v>312.83600000000001</v>
      </c>
      <c r="E94">
        <v>705445</v>
      </c>
      <c r="F94">
        <v>300</v>
      </c>
      <c r="G94">
        <v>705445</v>
      </c>
      <c r="H94">
        <v>280.98</v>
      </c>
      <c r="I94" t="s">
        <v>98</v>
      </c>
      <c r="J94" t="s">
        <v>27</v>
      </c>
      <c r="K94" t="s">
        <v>163</v>
      </c>
      <c r="L94">
        <f t="shared" si="12"/>
        <v>56.763636363636365</v>
      </c>
      <c r="M94" t="s">
        <v>23</v>
      </c>
      <c r="N94">
        <f t="shared" si="16"/>
        <v>57348.644591066521</v>
      </c>
      <c r="O94">
        <f t="shared" si="14"/>
        <v>1010.3060385998266</v>
      </c>
    </row>
    <row r="95" spans="1:15" x14ac:dyDescent="0.45">
      <c r="A95">
        <v>6</v>
      </c>
      <c r="B95" t="s">
        <v>258</v>
      </c>
      <c r="C95">
        <v>3163</v>
      </c>
      <c r="D95">
        <v>343.71100000000001</v>
      </c>
      <c r="E95">
        <v>1087158</v>
      </c>
      <c r="F95">
        <v>319</v>
      </c>
      <c r="G95">
        <v>1087158</v>
      </c>
      <c r="H95">
        <v>395.01499999999999</v>
      </c>
      <c r="I95" t="s">
        <v>99</v>
      </c>
      <c r="J95" t="s">
        <v>27</v>
      </c>
      <c r="K95" t="s">
        <v>163</v>
      </c>
      <c r="L95">
        <f t="shared" si="12"/>
        <v>79.801010101010093</v>
      </c>
      <c r="M95" t="s">
        <v>23</v>
      </c>
      <c r="N95">
        <f t="shared" si="16"/>
        <v>178098.67753505253</v>
      </c>
      <c r="O95">
        <f t="shared" si="14"/>
        <v>2231.7847519676725</v>
      </c>
    </row>
    <row r="96" spans="1:15" x14ac:dyDescent="0.45">
      <c r="A96">
        <v>7</v>
      </c>
      <c r="B96" t="s">
        <v>259</v>
      </c>
      <c r="C96">
        <v>2781</v>
      </c>
      <c r="D96">
        <v>341.04</v>
      </c>
      <c r="E96">
        <v>948431</v>
      </c>
      <c r="F96">
        <v>318</v>
      </c>
      <c r="G96">
        <v>948431</v>
      </c>
      <c r="H96">
        <v>346.87599999999998</v>
      </c>
      <c r="I96" t="s">
        <v>100</v>
      </c>
      <c r="J96" t="s">
        <v>27</v>
      </c>
      <c r="K96" t="s">
        <v>163</v>
      </c>
      <c r="L96">
        <f t="shared" si="12"/>
        <v>70.075959595959588</v>
      </c>
      <c r="M96" t="s">
        <v>23</v>
      </c>
      <c r="N96">
        <f t="shared" si="16"/>
        <v>149160.06235377211</v>
      </c>
      <c r="O96">
        <f t="shared" si="14"/>
        <v>2128.5482669633298</v>
      </c>
    </row>
    <row r="97" spans="1:15" x14ac:dyDescent="0.45">
      <c r="A97">
        <v>8</v>
      </c>
      <c r="B97" t="s">
        <v>260</v>
      </c>
      <c r="C97">
        <v>2866</v>
      </c>
      <c r="D97">
        <v>341.87400000000002</v>
      </c>
      <c r="E97">
        <v>979810</v>
      </c>
      <c r="F97">
        <v>319</v>
      </c>
      <c r="G97">
        <v>979810</v>
      </c>
      <c r="H97">
        <v>357.19900000000001</v>
      </c>
      <c r="I97" t="s">
        <v>101</v>
      </c>
      <c r="J97" t="s">
        <v>27</v>
      </c>
      <c r="K97" t="s">
        <v>163</v>
      </c>
      <c r="L97">
        <f t="shared" si="12"/>
        <v>72.161414141414141</v>
      </c>
      <c r="M97" t="s">
        <v>23</v>
      </c>
      <c r="N97">
        <f t="shared" si="16"/>
        <v>156109.70971086342</v>
      </c>
      <c r="O97">
        <f t="shared" si="14"/>
        <v>2163.3404994660509</v>
      </c>
    </row>
    <row r="98" spans="1:15" x14ac:dyDescent="0.45">
      <c r="A98">
        <v>9</v>
      </c>
      <c r="B98" t="s">
        <v>261</v>
      </c>
      <c r="C98">
        <v>2105</v>
      </c>
      <c r="D98">
        <v>286.839</v>
      </c>
      <c r="E98">
        <v>603797</v>
      </c>
      <c r="F98">
        <v>287</v>
      </c>
      <c r="G98">
        <v>603797</v>
      </c>
      <c r="H98">
        <v>262.36200000000002</v>
      </c>
      <c r="I98" t="s">
        <v>124</v>
      </c>
      <c r="K98" t="s">
        <v>163</v>
      </c>
      <c r="L98">
        <f t="shared" si="12"/>
        <v>53.002424242424247</v>
      </c>
      <c r="M98" t="s">
        <v>23</v>
      </c>
      <c r="O98">
        <f t="shared" si="14"/>
        <v>0</v>
      </c>
    </row>
    <row r="99" spans="1:15" x14ac:dyDescent="0.45">
      <c r="A99">
        <v>10</v>
      </c>
      <c r="B99" t="s">
        <v>262</v>
      </c>
      <c r="C99">
        <v>2078</v>
      </c>
      <c r="D99">
        <v>287.62400000000002</v>
      </c>
      <c r="E99">
        <v>597683</v>
      </c>
      <c r="F99">
        <v>288</v>
      </c>
      <c r="G99">
        <v>597683</v>
      </c>
      <c r="H99">
        <v>258.00099999999998</v>
      </c>
      <c r="I99" t="s">
        <v>124</v>
      </c>
      <c r="K99" t="s">
        <v>163</v>
      </c>
      <c r="L99">
        <f t="shared" si="12"/>
        <v>52.121414141414135</v>
      </c>
      <c r="M99" t="s">
        <v>23</v>
      </c>
      <c r="O99">
        <f t="shared" si="14"/>
        <v>0</v>
      </c>
    </row>
    <row r="100" spans="1:15" x14ac:dyDescent="0.45">
      <c r="A100">
        <v>11</v>
      </c>
      <c r="B100" t="s">
        <v>263</v>
      </c>
      <c r="C100">
        <v>1971</v>
      </c>
      <c r="D100">
        <v>287.74900000000002</v>
      </c>
      <c r="E100">
        <v>567153</v>
      </c>
      <c r="F100">
        <v>288</v>
      </c>
      <c r="G100">
        <v>567153</v>
      </c>
      <c r="H100">
        <v>245.43899999999999</v>
      </c>
      <c r="I100" t="s">
        <v>124</v>
      </c>
      <c r="K100" t="s">
        <v>163</v>
      </c>
      <c r="L100">
        <f t="shared" si="12"/>
        <v>49.583636363636359</v>
      </c>
      <c r="M100" t="s">
        <v>23</v>
      </c>
      <c r="O100">
        <f t="shared" si="14"/>
        <v>0</v>
      </c>
    </row>
    <row r="101" spans="1:15" x14ac:dyDescent="0.45">
      <c r="A101">
        <v>1</v>
      </c>
      <c r="B101" t="s">
        <v>264</v>
      </c>
      <c r="C101">
        <v>2938</v>
      </c>
      <c r="D101">
        <v>324.99599999999998</v>
      </c>
      <c r="E101">
        <v>954838</v>
      </c>
      <c r="F101">
        <v>306</v>
      </c>
      <c r="G101">
        <v>954838</v>
      </c>
      <c r="H101">
        <v>366.149</v>
      </c>
      <c r="I101" t="s">
        <v>102</v>
      </c>
      <c r="J101" t="s">
        <v>27</v>
      </c>
      <c r="K101" t="s">
        <v>163</v>
      </c>
      <c r="L101">
        <f t="shared" si="12"/>
        <v>73.969494949494944</v>
      </c>
      <c r="M101" t="s">
        <v>24</v>
      </c>
      <c r="N101">
        <f t="shared" ref="N101:N108" si="17">G101-(((G$109/C$109*C101)+(G$110/C$110*C101)+(G$111/C$111*C101))/3)</f>
        <v>112934.70452290762</v>
      </c>
      <c r="O101">
        <f t="shared" si="14"/>
        <v>1526.7740384062029</v>
      </c>
    </row>
    <row r="102" spans="1:15" x14ac:dyDescent="0.45">
      <c r="A102">
        <v>2</v>
      </c>
      <c r="B102" t="s">
        <v>265</v>
      </c>
      <c r="C102">
        <v>3036</v>
      </c>
      <c r="D102">
        <v>343.14699999999999</v>
      </c>
      <c r="E102">
        <v>1041793</v>
      </c>
      <c r="F102">
        <v>319</v>
      </c>
      <c r="G102">
        <v>1041793</v>
      </c>
      <c r="H102">
        <v>380.51</v>
      </c>
      <c r="I102" t="s">
        <v>103</v>
      </c>
      <c r="J102" t="s">
        <v>27</v>
      </c>
      <c r="K102" t="s">
        <v>163</v>
      </c>
      <c r="L102">
        <f t="shared" si="12"/>
        <v>76.87070707070707</v>
      </c>
      <c r="M102" t="s">
        <v>24</v>
      </c>
      <c r="N102">
        <f t="shared" si="17"/>
        <v>171807.15756689839</v>
      </c>
      <c r="O102">
        <f t="shared" si="14"/>
        <v>2235.0146644139368</v>
      </c>
    </row>
    <row r="103" spans="1:15" x14ac:dyDescent="0.45">
      <c r="A103">
        <v>3</v>
      </c>
      <c r="B103" t="s">
        <v>266</v>
      </c>
      <c r="C103">
        <v>2551</v>
      </c>
      <c r="D103">
        <v>316.66199999999998</v>
      </c>
      <c r="E103">
        <v>807806</v>
      </c>
      <c r="F103">
        <v>301</v>
      </c>
      <c r="G103">
        <v>807806</v>
      </c>
      <c r="H103">
        <v>318.06700000000001</v>
      </c>
      <c r="I103" t="s">
        <v>104</v>
      </c>
      <c r="J103" t="s">
        <v>27</v>
      </c>
      <c r="K103" t="s">
        <v>163</v>
      </c>
      <c r="L103">
        <f t="shared" si="12"/>
        <v>64.255959595959595</v>
      </c>
      <c r="M103" t="s">
        <v>24</v>
      </c>
      <c r="N103">
        <f t="shared" si="17"/>
        <v>76800.109338984825</v>
      </c>
      <c r="O103">
        <f t="shared" si="14"/>
        <v>1195.221576674018</v>
      </c>
    </row>
    <row r="104" spans="1:15" x14ac:dyDescent="0.45">
      <c r="A104">
        <v>4</v>
      </c>
      <c r="B104" t="s">
        <v>267</v>
      </c>
      <c r="C104">
        <v>3157</v>
      </c>
      <c r="D104">
        <v>350.21199999999999</v>
      </c>
      <c r="E104">
        <v>1105618</v>
      </c>
      <c r="F104">
        <v>329</v>
      </c>
      <c r="G104">
        <v>1105618</v>
      </c>
      <c r="H104">
        <v>396.20299999999997</v>
      </c>
      <c r="I104" t="s">
        <v>105</v>
      </c>
      <c r="J104" t="s">
        <v>27</v>
      </c>
      <c r="K104" t="s">
        <v>163</v>
      </c>
      <c r="L104">
        <f t="shared" si="12"/>
        <v>80.041010101010087</v>
      </c>
      <c r="M104" t="s">
        <v>24</v>
      </c>
      <c r="N104">
        <f t="shared" si="17"/>
        <v>200958.80877427477</v>
      </c>
      <c r="O104">
        <f t="shared" si="14"/>
        <v>2510.6980599153976</v>
      </c>
    </row>
    <row r="105" spans="1:15" x14ac:dyDescent="0.45">
      <c r="A105">
        <v>5</v>
      </c>
      <c r="B105" t="s">
        <v>268</v>
      </c>
      <c r="C105">
        <v>2694</v>
      </c>
      <c r="D105">
        <v>362.02499999999998</v>
      </c>
      <c r="E105">
        <v>975295</v>
      </c>
      <c r="F105">
        <v>340</v>
      </c>
      <c r="G105">
        <v>975295</v>
      </c>
      <c r="H105">
        <v>336.27300000000002</v>
      </c>
      <c r="I105" t="s">
        <v>50</v>
      </c>
      <c r="J105" t="s">
        <v>27</v>
      </c>
      <c r="K105" t="s">
        <v>163</v>
      </c>
      <c r="L105">
        <f t="shared" si="12"/>
        <v>67.933939393939397</v>
      </c>
      <c r="M105" t="s">
        <v>24</v>
      </c>
      <c r="N105">
        <f t="shared" si="17"/>
        <v>203311.51531133859</v>
      </c>
      <c r="O105">
        <f t="shared" si="14"/>
        <v>2992.782652163944</v>
      </c>
    </row>
    <row r="106" spans="1:15" x14ac:dyDescent="0.45">
      <c r="A106">
        <v>6</v>
      </c>
      <c r="B106" t="s">
        <v>269</v>
      </c>
      <c r="C106">
        <v>2875</v>
      </c>
      <c r="D106">
        <v>337.685</v>
      </c>
      <c r="E106">
        <v>970845</v>
      </c>
      <c r="F106">
        <v>318</v>
      </c>
      <c r="G106">
        <v>970845</v>
      </c>
      <c r="H106">
        <v>359.01299999999998</v>
      </c>
      <c r="I106" t="s">
        <v>106</v>
      </c>
      <c r="J106" t="s">
        <v>27</v>
      </c>
      <c r="K106" t="s">
        <v>163</v>
      </c>
      <c r="L106">
        <f t="shared" si="12"/>
        <v>72.527878787878777</v>
      </c>
      <c r="M106" t="s">
        <v>24</v>
      </c>
      <c r="N106">
        <f t="shared" si="17"/>
        <v>146994.77042319917</v>
      </c>
      <c r="O106">
        <f t="shared" si="14"/>
        <v>2026.7347243549286</v>
      </c>
    </row>
    <row r="107" spans="1:15" x14ac:dyDescent="0.45">
      <c r="A107">
        <v>7</v>
      </c>
      <c r="B107" t="s">
        <v>270</v>
      </c>
      <c r="C107">
        <v>3145</v>
      </c>
      <c r="D107">
        <v>328.74200000000002</v>
      </c>
      <c r="E107">
        <v>1033894</v>
      </c>
      <c r="F107">
        <v>309</v>
      </c>
      <c r="G107">
        <v>1033894</v>
      </c>
      <c r="H107">
        <v>391.83</v>
      </c>
      <c r="I107" t="s">
        <v>107</v>
      </c>
      <c r="J107" t="s">
        <v>27</v>
      </c>
      <c r="K107" t="s">
        <v>163</v>
      </c>
      <c r="L107">
        <f t="shared" si="12"/>
        <v>79.157575757575756</v>
      </c>
      <c r="M107" t="s">
        <v>24</v>
      </c>
      <c r="N107">
        <f t="shared" si="17"/>
        <v>132673.48799337784</v>
      </c>
      <c r="O107">
        <f t="shared" si="14"/>
        <v>1676.0681049618977</v>
      </c>
    </row>
    <row r="108" spans="1:15" x14ac:dyDescent="0.45">
      <c r="A108">
        <v>8</v>
      </c>
      <c r="B108" t="s">
        <v>271</v>
      </c>
      <c r="C108">
        <v>1585</v>
      </c>
      <c r="D108">
        <v>292.79599999999999</v>
      </c>
      <c r="E108">
        <v>464081</v>
      </c>
      <c r="F108">
        <v>288</v>
      </c>
      <c r="G108">
        <v>464081</v>
      </c>
      <c r="H108">
        <v>197.08500000000001</v>
      </c>
      <c r="I108" t="s">
        <v>108</v>
      </c>
      <c r="J108" t="s">
        <v>27</v>
      </c>
      <c r="K108" t="s">
        <v>163</v>
      </c>
      <c r="L108">
        <f t="shared" si="12"/>
        <v>39.815151515151513</v>
      </c>
      <c r="M108" t="s">
        <v>24</v>
      </c>
      <c r="N108">
        <f t="shared" si="17"/>
        <v>9888.7864767897991</v>
      </c>
      <c r="O108">
        <f t="shared" si="14"/>
        <v>248.36742045365963</v>
      </c>
    </row>
    <row r="109" spans="1:15" x14ac:dyDescent="0.45">
      <c r="A109">
        <v>9</v>
      </c>
      <c r="B109" t="s">
        <v>272</v>
      </c>
      <c r="C109">
        <v>2250</v>
      </c>
      <c r="D109">
        <v>286.05099999999999</v>
      </c>
      <c r="E109">
        <v>643615</v>
      </c>
      <c r="F109">
        <v>286</v>
      </c>
      <c r="G109">
        <v>643615</v>
      </c>
      <c r="H109">
        <v>280.29500000000002</v>
      </c>
      <c r="I109" t="s">
        <v>124</v>
      </c>
      <c r="K109" t="s">
        <v>163</v>
      </c>
      <c r="L109">
        <f t="shared" si="12"/>
        <v>56.625252525252527</v>
      </c>
      <c r="M109" t="s">
        <v>24</v>
      </c>
      <c r="O109">
        <f t="shared" si="14"/>
        <v>0</v>
      </c>
    </row>
    <row r="110" spans="1:15" x14ac:dyDescent="0.45">
      <c r="A110">
        <v>10</v>
      </c>
      <c r="B110" t="s">
        <v>273</v>
      </c>
      <c r="C110">
        <v>2218</v>
      </c>
      <c r="D110">
        <v>286.17899999999997</v>
      </c>
      <c r="E110">
        <v>634744</v>
      </c>
      <c r="F110">
        <v>286</v>
      </c>
      <c r="G110">
        <v>634744</v>
      </c>
      <c r="H110">
        <v>276.61500000000001</v>
      </c>
      <c r="I110" t="s">
        <v>124</v>
      </c>
      <c r="K110" t="s">
        <v>163</v>
      </c>
      <c r="L110">
        <f t="shared" si="12"/>
        <v>55.881818181818183</v>
      </c>
      <c r="M110" t="s">
        <v>24</v>
      </c>
      <c r="O110">
        <f t="shared" si="14"/>
        <v>0</v>
      </c>
    </row>
    <row r="111" spans="1:15" x14ac:dyDescent="0.45">
      <c r="A111">
        <v>11</v>
      </c>
      <c r="B111" t="s">
        <v>274</v>
      </c>
      <c r="C111">
        <v>1813</v>
      </c>
      <c r="D111">
        <v>287.44</v>
      </c>
      <c r="E111">
        <v>521129</v>
      </c>
      <c r="F111">
        <v>287</v>
      </c>
      <c r="G111">
        <v>521129</v>
      </c>
      <c r="H111">
        <v>225.44399999999999</v>
      </c>
      <c r="I111" t="s">
        <v>124</v>
      </c>
      <c r="K111" t="s">
        <v>163</v>
      </c>
      <c r="L111">
        <f t="shared" si="12"/>
        <v>45.54424242424242</v>
      </c>
      <c r="M111" t="s">
        <v>24</v>
      </c>
      <c r="O111">
        <f t="shared" si="14"/>
        <v>0</v>
      </c>
    </row>
    <row r="112" spans="1:15" x14ac:dyDescent="0.45">
      <c r="A112">
        <v>1</v>
      </c>
      <c r="B112" t="s">
        <v>275</v>
      </c>
      <c r="C112">
        <v>3174</v>
      </c>
      <c r="D112">
        <v>323.63600000000002</v>
      </c>
      <c r="E112">
        <v>1027222</v>
      </c>
      <c r="F112">
        <v>307</v>
      </c>
      <c r="G112">
        <v>1027222</v>
      </c>
      <c r="H112">
        <v>395.68400000000003</v>
      </c>
      <c r="I112" t="s">
        <v>109</v>
      </c>
      <c r="J112" t="s">
        <v>27</v>
      </c>
      <c r="K112" t="s">
        <v>163</v>
      </c>
      <c r="L112">
        <f t="shared" si="12"/>
        <v>79.936161616161613</v>
      </c>
      <c r="M112" t="s">
        <v>25</v>
      </c>
      <c r="N112">
        <f>G112-(((G$120/C$120*C112)+(G$121/C$121*C112)+(G$122/C$122*C112))/3)</f>
        <v>118272.32077370153</v>
      </c>
      <c r="O112">
        <f t="shared" si="14"/>
        <v>1479.5846883619822</v>
      </c>
    </row>
    <row r="113" spans="1:15" x14ac:dyDescent="0.45">
      <c r="A113">
        <v>2</v>
      </c>
      <c r="B113" t="s">
        <v>276</v>
      </c>
      <c r="C113">
        <v>2463</v>
      </c>
      <c r="D113">
        <v>364.10899999999998</v>
      </c>
      <c r="E113">
        <v>896800</v>
      </c>
      <c r="F113">
        <v>334</v>
      </c>
      <c r="G113">
        <v>896800</v>
      </c>
      <c r="H113">
        <v>306.75099999999998</v>
      </c>
      <c r="I113" t="s">
        <v>110</v>
      </c>
      <c r="J113" t="s">
        <v>27</v>
      </c>
      <c r="K113" t="s">
        <v>163</v>
      </c>
      <c r="L113">
        <f t="shared" si="12"/>
        <v>61.969898989898979</v>
      </c>
      <c r="M113" t="s">
        <v>25</v>
      </c>
      <c r="N113">
        <f t="shared" ref="N113:N119" si="18">G113-(((G$120/C$120*C113)+(G$121/C$121*C113)+(G$122/C$122*C113))/3)</f>
        <v>191461.9218858307</v>
      </c>
      <c r="O113">
        <f t="shared" si="14"/>
        <v>3089.5955134127098</v>
      </c>
    </row>
    <row r="114" spans="1:15" x14ac:dyDescent="0.45">
      <c r="A114">
        <v>3</v>
      </c>
      <c r="B114" t="s">
        <v>277</v>
      </c>
      <c r="C114">
        <v>2899</v>
      </c>
      <c r="D114">
        <v>339.62700000000001</v>
      </c>
      <c r="E114">
        <v>984578</v>
      </c>
      <c r="F114">
        <v>318</v>
      </c>
      <c r="G114">
        <v>984578</v>
      </c>
      <c r="H114">
        <v>362.1</v>
      </c>
      <c r="I114" t="s">
        <v>111</v>
      </c>
      <c r="J114" t="s">
        <v>27</v>
      </c>
      <c r="K114" t="s">
        <v>163</v>
      </c>
      <c r="L114">
        <f t="shared" si="12"/>
        <v>73.151515151515156</v>
      </c>
      <c r="M114" t="s">
        <v>25</v>
      </c>
      <c r="N114">
        <f t="shared" si="18"/>
        <v>154381.04975518596</v>
      </c>
      <c r="O114">
        <f t="shared" si="14"/>
        <v>2110.4286006301309</v>
      </c>
    </row>
    <row r="115" spans="1:15" x14ac:dyDescent="0.45">
      <c r="A115">
        <v>4</v>
      </c>
      <c r="B115" t="s">
        <v>278</v>
      </c>
      <c r="C115">
        <v>2838</v>
      </c>
      <c r="D115">
        <v>319.892</v>
      </c>
      <c r="E115">
        <v>907854</v>
      </c>
      <c r="F115">
        <v>304</v>
      </c>
      <c r="G115">
        <v>907854</v>
      </c>
      <c r="H115">
        <v>353.24400000000003</v>
      </c>
      <c r="I115" t="s">
        <v>112</v>
      </c>
      <c r="J115" t="s">
        <v>27</v>
      </c>
      <c r="K115" t="s">
        <v>163</v>
      </c>
      <c r="L115">
        <f t="shared" si="12"/>
        <v>71.36242424242424</v>
      </c>
      <c r="M115" t="s">
        <v>25</v>
      </c>
      <c r="N115">
        <f t="shared" si="18"/>
        <v>95125.836911079008</v>
      </c>
      <c r="O115">
        <f t="shared" si="14"/>
        <v>1332.9961519794847</v>
      </c>
    </row>
    <row r="116" spans="1:15" x14ac:dyDescent="0.45">
      <c r="A116">
        <v>5</v>
      </c>
      <c r="B116" t="s">
        <v>279</v>
      </c>
      <c r="C116">
        <v>2873</v>
      </c>
      <c r="D116">
        <v>358.05799999999999</v>
      </c>
      <c r="E116">
        <v>1028701</v>
      </c>
      <c r="F116">
        <v>329</v>
      </c>
      <c r="G116">
        <v>1028701</v>
      </c>
      <c r="H116">
        <v>358.85199999999998</v>
      </c>
      <c r="I116" t="s">
        <v>113</v>
      </c>
      <c r="J116" t="s">
        <v>27</v>
      </c>
      <c r="K116" t="s">
        <v>163</v>
      </c>
      <c r="L116">
        <f t="shared" si="12"/>
        <v>72.49535353535353</v>
      </c>
      <c r="M116" t="s">
        <v>25</v>
      </c>
      <c r="N116">
        <f t="shared" si="18"/>
        <v>205949.76231343544</v>
      </c>
      <c r="O116">
        <f t="shared" si="14"/>
        <v>2840.8684456308047</v>
      </c>
    </row>
    <row r="117" spans="1:15" x14ac:dyDescent="0.45">
      <c r="A117">
        <v>6</v>
      </c>
      <c r="B117" t="s">
        <v>280</v>
      </c>
      <c r="C117">
        <v>2768</v>
      </c>
      <c r="D117">
        <v>328.012</v>
      </c>
      <c r="E117">
        <v>907937</v>
      </c>
      <c r="F117">
        <v>304</v>
      </c>
      <c r="G117">
        <v>907937</v>
      </c>
      <c r="H117">
        <v>345.43099999999998</v>
      </c>
      <c r="I117" t="s">
        <v>114</v>
      </c>
      <c r="J117" t="s">
        <v>27</v>
      </c>
      <c r="K117" t="s">
        <v>163</v>
      </c>
      <c r="L117">
        <f t="shared" si="12"/>
        <v>69.784040404040397</v>
      </c>
      <c r="M117" t="s">
        <v>25</v>
      </c>
      <c r="N117">
        <f t="shared" si="18"/>
        <v>115254.98610636592</v>
      </c>
      <c r="O117">
        <f t="shared" si="14"/>
        <v>1651.5951991179465</v>
      </c>
    </row>
    <row r="118" spans="1:15" x14ac:dyDescent="0.45">
      <c r="A118">
        <v>7</v>
      </c>
      <c r="B118" t="s">
        <v>281</v>
      </c>
      <c r="C118">
        <v>2731</v>
      </c>
      <c r="D118">
        <v>338.327</v>
      </c>
      <c r="E118">
        <v>923972</v>
      </c>
      <c r="F118">
        <v>310</v>
      </c>
      <c r="G118">
        <v>923972</v>
      </c>
      <c r="H118">
        <v>340.80399999999997</v>
      </c>
      <c r="I118" t="s">
        <v>51</v>
      </c>
      <c r="J118" t="s">
        <v>27</v>
      </c>
      <c r="K118" t="s">
        <v>163</v>
      </c>
      <c r="L118">
        <f t="shared" si="12"/>
        <v>68.849292929292915</v>
      </c>
      <c r="M118" t="s">
        <v>25</v>
      </c>
      <c r="N118">
        <f t="shared" si="18"/>
        <v>141885.80782387487</v>
      </c>
      <c r="O118">
        <f t="shared" si="14"/>
        <v>2060.8172108548629</v>
      </c>
    </row>
    <row r="119" spans="1:15" x14ac:dyDescent="0.45">
      <c r="A119">
        <v>8</v>
      </c>
      <c r="B119" t="s">
        <v>282</v>
      </c>
      <c r="C119">
        <v>3132</v>
      </c>
      <c r="D119">
        <v>335.05700000000002</v>
      </c>
      <c r="E119">
        <v>1049400</v>
      </c>
      <c r="F119">
        <v>313</v>
      </c>
      <c r="G119">
        <v>1049400</v>
      </c>
      <c r="H119">
        <v>390.79399999999998</v>
      </c>
      <c r="I119" t="s">
        <v>115</v>
      </c>
      <c r="J119" t="s">
        <v>27</v>
      </c>
      <c r="K119" t="s">
        <v>163</v>
      </c>
      <c r="L119">
        <f t="shared" si="12"/>
        <v>78.948282828282828</v>
      </c>
      <c r="M119" t="s">
        <v>25</v>
      </c>
      <c r="N119">
        <f t="shared" si="18"/>
        <v>152478.01029087359</v>
      </c>
      <c r="O119">
        <f t="shared" si="14"/>
        <v>1931.3657603234037</v>
      </c>
    </row>
    <row r="120" spans="1:15" x14ac:dyDescent="0.45">
      <c r="A120">
        <v>9</v>
      </c>
      <c r="B120" t="s">
        <v>283</v>
      </c>
      <c r="C120">
        <v>1708</v>
      </c>
      <c r="D120">
        <v>286.06099999999998</v>
      </c>
      <c r="E120">
        <v>488593</v>
      </c>
      <c r="F120">
        <v>286</v>
      </c>
      <c r="G120">
        <v>488593</v>
      </c>
      <c r="H120">
        <v>213.053</v>
      </c>
      <c r="I120" t="s">
        <v>124</v>
      </c>
      <c r="K120" t="s">
        <v>163</v>
      </c>
      <c r="L120">
        <f t="shared" si="12"/>
        <v>43.041010101010102</v>
      </c>
      <c r="M120" t="s">
        <v>25</v>
      </c>
      <c r="O120">
        <f t="shared" si="14"/>
        <v>0</v>
      </c>
    </row>
    <row r="121" spans="1:15" x14ac:dyDescent="0.45">
      <c r="A121">
        <v>10</v>
      </c>
      <c r="B121" t="s">
        <v>284</v>
      </c>
      <c r="C121">
        <v>1634</v>
      </c>
      <c r="D121">
        <v>286.786</v>
      </c>
      <c r="E121">
        <v>468608</v>
      </c>
      <c r="F121">
        <v>287</v>
      </c>
      <c r="G121">
        <v>468608</v>
      </c>
      <c r="H121">
        <v>203.239</v>
      </c>
      <c r="I121" t="s">
        <v>124</v>
      </c>
      <c r="K121" t="s">
        <v>163</v>
      </c>
      <c r="L121">
        <f t="shared" si="12"/>
        <v>41.05838383838384</v>
      </c>
      <c r="M121" t="s">
        <v>25</v>
      </c>
      <c r="O121">
        <f t="shared" si="14"/>
        <v>0</v>
      </c>
    </row>
    <row r="122" spans="1:15" x14ac:dyDescent="0.45">
      <c r="A122">
        <v>11</v>
      </c>
      <c r="B122" t="s">
        <v>285</v>
      </c>
      <c r="C122">
        <v>1346</v>
      </c>
      <c r="D122">
        <v>286.27300000000002</v>
      </c>
      <c r="E122">
        <v>385324</v>
      </c>
      <c r="F122">
        <v>286</v>
      </c>
      <c r="G122">
        <v>385324</v>
      </c>
      <c r="H122">
        <v>167.11600000000001</v>
      </c>
      <c r="I122" t="s">
        <v>124</v>
      </c>
      <c r="K122" t="s">
        <v>163</v>
      </c>
      <c r="L122">
        <f t="shared" si="12"/>
        <v>33.760808080808083</v>
      </c>
      <c r="M122" t="s">
        <v>25</v>
      </c>
      <c r="O122">
        <f t="shared" si="14"/>
        <v>0</v>
      </c>
    </row>
    <row r="123" spans="1:15" x14ac:dyDescent="0.45">
      <c r="A123">
        <v>1</v>
      </c>
      <c r="B123" t="s">
        <v>286</v>
      </c>
      <c r="C123">
        <v>2702</v>
      </c>
      <c r="D123">
        <v>317.90899999999999</v>
      </c>
      <c r="E123">
        <v>858991</v>
      </c>
      <c r="F123">
        <v>303</v>
      </c>
      <c r="G123">
        <v>858991</v>
      </c>
      <c r="H123">
        <v>337.15</v>
      </c>
      <c r="I123" t="s">
        <v>116</v>
      </c>
      <c r="J123" t="s">
        <v>27</v>
      </c>
      <c r="K123" t="s">
        <v>163</v>
      </c>
      <c r="L123">
        <f t="shared" si="12"/>
        <v>68.1111111111111</v>
      </c>
      <c r="M123" t="s">
        <v>26</v>
      </c>
      <c r="N123">
        <f t="shared" ref="N123:N130" si="19">G123-(((G$131/C$131*C123)+(G$132/C$132*C123)+(G$133/C$133*C123))/3)</f>
        <v>83850.334251303109</v>
      </c>
      <c r="O123">
        <f t="shared" si="14"/>
        <v>1231.0815795460492</v>
      </c>
    </row>
    <row r="124" spans="1:15" x14ac:dyDescent="0.45">
      <c r="A124">
        <v>2</v>
      </c>
      <c r="B124" t="s">
        <v>287</v>
      </c>
      <c r="C124">
        <v>3039</v>
      </c>
      <c r="D124">
        <v>334.65199999999999</v>
      </c>
      <c r="E124">
        <v>1017007</v>
      </c>
      <c r="F124">
        <v>313</v>
      </c>
      <c r="G124">
        <v>1017007</v>
      </c>
      <c r="H124">
        <v>378.72399999999999</v>
      </c>
      <c r="I124" t="s">
        <v>117</v>
      </c>
      <c r="J124" t="s">
        <v>27</v>
      </c>
      <c r="K124" t="s">
        <v>163</v>
      </c>
      <c r="L124">
        <f t="shared" si="12"/>
        <v>76.509898989898986</v>
      </c>
      <c r="M124" t="s">
        <v>26</v>
      </c>
      <c r="N124">
        <f t="shared" si="19"/>
        <v>145188.90850840474</v>
      </c>
      <c r="O124">
        <f t="shared" si="14"/>
        <v>1897.6486758605304</v>
      </c>
    </row>
    <row r="125" spans="1:15" x14ac:dyDescent="0.45">
      <c r="A125">
        <v>3</v>
      </c>
      <c r="B125" t="s">
        <v>288</v>
      </c>
      <c r="C125">
        <v>3279</v>
      </c>
      <c r="D125">
        <v>348.84199999999998</v>
      </c>
      <c r="E125">
        <v>1143852</v>
      </c>
      <c r="F125">
        <v>328</v>
      </c>
      <c r="G125">
        <v>1143852</v>
      </c>
      <c r="H125">
        <v>409.69600000000003</v>
      </c>
      <c r="I125" t="s">
        <v>118</v>
      </c>
      <c r="J125" t="s">
        <v>27</v>
      </c>
      <c r="K125" t="s">
        <v>163</v>
      </c>
      <c r="L125">
        <f t="shared" si="12"/>
        <v>82.76686868686869</v>
      </c>
      <c r="M125" t="s">
        <v>26</v>
      </c>
      <c r="N125">
        <f t="shared" si="19"/>
        <v>203183.51628794335</v>
      </c>
      <c r="O125">
        <f t="shared" si="14"/>
        <v>2454.8894927588249</v>
      </c>
    </row>
    <row r="126" spans="1:15" x14ac:dyDescent="0.45">
      <c r="A126">
        <v>4</v>
      </c>
      <c r="B126" t="s">
        <v>289</v>
      </c>
      <c r="C126">
        <v>3047</v>
      </c>
      <c r="D126">
        <v>341.36200000000002</v>
      </c>
      <c r="E126">
        <v>1040129</v>
      </c>
      <c r="F126">
        <v>320</v>
      </c>
      <c r="G126">
        <v>1040129</v>
      </c>
      <c r="H126">
        <v>380.62299999999999</v>
      </c>
      <c r="I126" t="s">
        <v>119</v>
      </c>
      <c r="J126" t="s">
        <v>27</v>
      </c>
      <c r="K126" t="s">
        <v>163</v>
      </c>
      <c r="L126">
        <f t="shared" si="12"/>
        <v>76.893535353535356</v>
      </c>
      <c r="M126" t="s">
        <v>26</v>
      </c>
      <c r="N126">
        <f t="shared" si="19"/>
        <v>166015.89543438947</v>
      </c>
      <c r="O126">
        <f t="shared" si="14"/>
        <v>2159.0357976271216</v>
      </c>
    </row>
    <row r="127" spans="1:15" x14ac:dyDescent="0.45">
      <c r="A127">
        <v>5</v>
      </c>
      <c r="B127" t="s">
        <v>290</v>
      </c>
      <c r="C127">
        <v>2391</v>
      </c>
      <c r="D127">
        <v>322.22800000000001</v>
      </c>
      <c r="E127">
        <v>770446</v>
      </c>
      <c r="F127">
        <v>306</v>
      </c>
      <c r="G127">
        <v>770446</v>
      </c>
      <c r="H127">
        <v>298.98599999999999</v>
      </c>
      <c r="I127" t="s">
        <v>120</v>
      </c>
      <c r="J127" t="s">
        <v>27</v>
      </c>
      <c r="K127" t="s">
        <v>163</v>
      </c>
      <c r="L127">
        <f t="shared" si="12"/>
        <v>60.401212121212119</v>
      </c>
      <c r="M127" t="s">
        <v>26</v>
      </c>
      <c r="N127">
        <f>G127-(((G$131/C$131*C127)+(G$132/C$132*C127)+(G$133/C$133*C127))/3)</f>
        <v>84523.967503651162</v>
      </c>
      <c r="O127">
        <f t="shared" si="14"/>
        <v>1399.3753525017</v>
      </c>
    </row>
    <row r="128" spans="1:15" x14ac:dyDescent="0.45">
      <c r="A128">
        <v>6</v>
      </c>
      <c r="B128" t="s">
        <v>291</v>
      </c>
      <c r="C128">
        <v>3272</v>
      </c>
      <c r="D128">
        <v>343.86399999999998</v>
      </c>
      <c r="E128">
        <v>1125122</v>
      </c>
      <c r="F128">
        <v>322</v>
      </c>
      <c r="G128">
        <v>1125122</v>
      </c>
      <c r="H128">
        <v>408.01799999999997</v>
      </c>
      <c r="I128" t="s">
        <v>121</v>
      </c>
      <c r="J128" t="s">
        <v>27</v>
      </c>
      <c r="K128" t="s">
        <v>163</v>
      </c>
      <c r="L128">
        <f t="shared" si="12"/>
        <v>82.427878787878782</v>
      </c>
      <c r="M128" t="s">
        <v>26</v>
      </c>
      <c r="N128">
        <f t="shared" si="19"/>
        <v>186461.65272770671</v>
      </c>
      <c r="O128">
        <f t="shared" si="14"/>
        <v>2262.1187815296098</v>
      </c>
    </row>
    <row r="129" spans="1:15" x14ac:dyDescent="0.45">
      <c r="A129">
        <v>7</v>
      </c>
      <c r="B129" t="s">
        <v>292</v>
      </c>
      <c r="C129">
        <v>2822</v>
      </c>
      <c r="D129">
        <v>334.52199999999999</v>
      </c>
      <c r="E129">
        <v>944021</v>
      </c>
      <c r="F129">
        <v>315</v>
      </c>
      <c r="G129">
        <v>944021</v>
      </c>
      <c r="H129">
        <v>352.01900000000001</v>
      </c>
      <c r="I129" t="s">
        <v>122</v>
      </c>
      <c r="J129" t="s">
        <v>27</v>
      </c>
      <c r="K129" t="s">
        <v>163</v>
      </c>
      <c r="L129">
        <f t="shared" si="12"/>
        <v>71.114949494949499</v>
      </c>
      <c r="M129" t="s">
        <v>26</v>
      </c>
      <c r="N129">
        <f t="shared" si="19"/>
        <v>134455.13814107236</v>
      </c>
      <c r="O129">
        <f t="shared" si="14"/>
        <v>1890.6733267190355</v>
      </c>
    </row>
    <row r="130" spans="1:15" x14ac:dyDescent="0.45">
      <c r="A130">
        <v>8</v>
      </c>
      <c r="B130" t="s">
        <v>293</v>
      </c>
      <c r="C130">
        <v>3165</v>
      </c>
      <c r="D130">
        <v>325.142</v>
      </c>
      <c r="E130">
        <v>1029076</v>
      </c>
      <c r="F130">
        <v>305</v>
      </c>
      <c r="G130">
        <v>1029076</v>
      </c>
      <c r="H130">
        <v>396.13099999999997</v>
      </c>
      <c r="I130" t="s">
        <v>123</v>
      </c>
      <c r="J130" t="s">
        <v>27</v>
      </c>
      <c r="K130" t="s">
        <v>163</v>
      </c>
      <c r="L130">
        <f t="shared" ref="L130:L177" si="20">H130/4.95</f>
        <v>80.026464646464632</v>
      </c>
      <c r="M130" t="s">
        <v>26</v>
      </c>
      <c r="N130">
        <f t="shared" si="19"/>
        <v>121111.45259266254</v>
      </c>
      <c r="O130">
        <f t="shared" si="14"/>
        <v>1513.392514934907</v>
      </c>
    </row>
    <row r="131" spans="1:15" x14ac:dyDescent="0.45">
      <c r="A131">
        <v>9</v>
      </c>
      <c r="B131" t="s">
        <v>294</v>
      </c>
      <c r="C131">
        <v>1678</v>
      </c>
      <c r="D131">
        <v>286.072</v>
      </c>
      <c r="E131">
        <v>480028</v>
      </c>
      <c r="F131">
        <v>286</v>
      </c>
      <c r="G131">
        <v>480028</v>
      </c>
      <c r="H131">
        <v>208.06399999999999</v>
      </c>
      <c r="I131" t="s">
        <v>124</v>
      </c>
      <c r="K131" t="s">
        <v>163</v>
      </c>
      <c r="L131">
        <f t="shared" si="20"/>
        <v>42.033131313131307</v>
      </c>
      <c r="M131" t="s">
        <v>26</v>
      </c>
      <c r="O131">
        <f t="shared" si="14"/>
        <v>0</v>
      </c>
    </row>
    <row r="132" spans="1:15" x14ac:dyDescent="0.45">
      <c r="A132">
        <v>10</v>
      </c>
      <c r="B132" t="s">
        <v>295</v>
      </c>
      <c r="C132">
        <v>2017</v>
      </c>
      <c r="D132">
        <v>287.15800000000002</v>
      </c>
      <c r="E132">
        <v>579198</v>
      </c>
      <c r="F132">
        <v>287</v>
      </c>
      <c r="G132">
        <v>579198</v>
      </c>
      <c r="H132">
        <v>251.63900000000001</v>
      </c>
      <c r="I132" t="s">
        <v>124</v>
      </c>
      <c r="K132" t="s">
        <v>163</v>
      </c>
      <c r="L132">
        <f t="shared" si="20"/>
        <v>50.836161616161618</v>
      </c>
      <c r="M132" t="s">
        <v>26</v>
      </c>
      <c r="O132">
        <f t="shared" si="14"/>
        <v>0</v>
      </c>
    </row>
    <row r="133" spans="1:15" x14ac:dyDescent="0.45">
      <c r="A133">
        <v>11</v>
      </c>
      <c r="B133" t="s">
        <v>296</v>
      </c>
      <c r="C133">
        <v>1714</v>
      </c>
      <c r="D133">
        <v>287.39999999999998</v>
      </c>
      <c r="E133">
        <v>492604</v>
      </c>
      <c r="F133">
        <v>287</v>
      </c>
      <c r="G133">
        <v>492604</v>
      </c>
      <c r="H133">
        <v>213.238</v>
      </c>
      <c r="I133" t="s">
        <v>124</v>
      </c>
      <c r="K133" t="s">
        <v>163</v>
      </c>
      <c r="L133">
        <f t="shared" si="20"/>
        <v>43.078383838383836</v>
      </c>
      <c r="M133" t="s">
        <v>26</v>
      </c>
      <c r="O133">
        <f t="shared" si="14"/>
        <v>0</v>
      </c>
    </row>
    <row r="134" spans="1:15" x14ac:dyDescent="0.45">
      <c r="A134">
        <v>1</v>
      </c>
      <c r="B134" t="s">
        <v>297</v>
      </c>
      <c r="C134">
        <v>2949</v>
      </c>
      <c r="D134">
        <v>304.12400000000002</v>
      </c>
      <c r="E134">
        <v>896861</v>
      </c>
      <c r="F134">
        <v>291</v>
      </c>
      <c r="G134">
        <v>896861</v>
      </c>
      <c r="H134">
        <v>368.78300000000002</v>
      </c>
      <c r="I134" t="s">
        <v>125</v>
      </c>
      <c r="J134" t="s">
        <v>27</v>
      </c>
      <c r="K134" t="s">
        <v>164</v>
      </c>
      <c r="L134">
        <f t="shared" si="20"/>
        <v>74.501616161616155</v>
      </c>
      <c r="M134" t="s">
        <v>126</v>
      </c>
      <c r="N134">
        <f>G134-(((G$142/C$142*C134)+(G$143/C$143*C134)+(G$144/C$144*C134))/3)</f>
        <v>57094.011560142389</v>
      </c>
      <c r="O134">
        <f>N134/L134</f>
        <v>766.34594659380946</v>
      </c>
    </row>
    <row r="135" spans="1:15" x14ac:dyDescent="0.45">
      <c r="A135">
        <v>2</v>
      </c>
      <c r="B135" t="s">
        <v>298</v>
      </c>
      <c r="C135">
        <v>2701</v>
      </c>
      <c r="D135">
        <v>323.28699999999998</v>
      </c>
      <c r="E135">
        <v>873198</v>
      </c>
      <c r="F135">
        <v>303</v>
      </c>
      <c r="G135">
        <v>873198</v>
      </c>
      <c r="H135">
        <v>336.94299999999998</v>
      </c>
      <c r="I135" t="s">
        <v>127</v>
      </c>
      <c r="J135" t="s">
        <v>27</v>
      </c>
      <c r="K135" t="s">
        <v>164</v>
      </c>
      <c r="L135">
        <f t="shared" si="20"/>
        <v>68.069292929292928</v>
      </c>
      <c r="M135" t="s">
        <v>126</v>
      </c>
      <c r="N135">
        <f>G135-(((G$142/C$142*C135)+(G$143/C$143*C135)+(G$144/C$144*C135))/3)</f>
        <v>104052.31136790256</v>
      </c>
      <c r="O135">
        <f>N135/L135</f>
        <v>1528.6233614324015</v>
      </c>
    </row>
    <row r="136" spans="1:15" x14ac:dyDescent="0.45">
      <c r="A136">
        <v>3</v>
      </c>
      <c r="B136" t="s">
        <v>299</v>
      </c>
      <c r="C136">
        <v>3122</v>
      </c>
      <c r="D136">
        <v>325.46600000000001</v>
      </c>
      <c r="E136">
        <v>1016106</v>
      </c>
      <c r="F136">
        <v>303</v>
      </c>
      <c r="G136">
        <v>1016106</v>
      </c>
      <c r="H136">
        <v>389.64100000000002</v>
      </c>
      <c r="I136" t="s">
        <v>128</v>
      </c>
      <c r="J136" t="s">
        <v>27</v>
      </c>
      <c r="K136" t="s">
        <v>164</v>
      </c>
      <c r="L136">
        <f t="shared" si="20"/>
        <v>78.715353535353543</v>
      </c>
      <c r="M136" t="s">
        <v>126</v>
      </c>
      <c r="N136">
        <f t="shared" ref="N136:N141" si="21">G136-(((G$142/C$142*C136)+(G$143/C$143*C136)+(G$144/C$144*C136))/3)</f>
        <v>127074.95967811625</v>
      </c>
      <c r="O136">
        <f t="shared" si="14"/>
        <v>1614.3605277850006</v>
      </c>
    </row>
    <row r="137" spans="1:15" x14ac:dyDescent="0.45">
      <c r="A137">
        <v>4</v>
      </c>
      <c r="B137" t="s">
        <v>300</v>
      </c>
      <c r="C137">
        <v>2949</v>
      </c>
      <c r="D137">
        <v>331.36500000000001</v>
      </c>
      <c r="E137">
        <v>977195</v>
      </c>
      <c r="F137">
        <v>301</v>
      </c>
      <c r="G137">
        <v>977195</v>
      </c>
      <c r="H137">
        <v>368.07299999999998</v>
      </c>
      <c r="I137" t="s">
        <v>129</v>
      </c>
      <c r="J137" t="s">
        <v>27</v>
      </c>
      <c r="K137" t="s">
        <v>164</v>
      </c>
      <c r="L137">
        <f t="shared" si="20"/>
        <v>74.358181818181805</v>
      </c>
      <c r="M137" t="s">
        <v>126</v>
      </c>
      <c r="N137">
        <f t="shared" si="21"/>
        <v>137428.01156014239</v>
      </c>
      <c r="O137">
        <f t="shared" si="14"/>
        <v>1848.1895092079694</v>
      </c>
    </row>
    <row r="138" spans="1:15" x14ac:dyDescent="0.45">
      <c r="A138">
        <v>5</v>
      </c>
      <c r="B138" t="s">
        <v>301</v>
      </c>
      <c r="C138">
        <v>3105</v>
      </c>
      <c r="D138">
        <v>329.00400000000002</v>
      </c>
      <c r="E138">
        <v>1021556</v>
      </c>
      <c r="F138">
        <v>301</v>
      </c>
      <c r="G138">
        <v>1021556</v>
      </c>
      <c r="H138">
        <v>388.2</v>
      </c>
      <c r="I138" t="s">
        <v>159</v>
      </c>
      <c r="J138" t="s">
        <v>27</v>
      </c>
      <c r="K138" t="s">
        <v>164</v>
      </c>
      <c r="L138">
        <f t="shared" si="20"/>
        <v>78.424242424242422</v>
      </c>
      <c r="M138" t="s">
        <v>126</v>
      </c>
      <c r="N138">
        <f t="shared" si="21"/>
        <v>137365.9358746158</v>
      </c>
      <c r="O138">
        <f t="shared" si="14"/>
        <v>1751.5749164846682</v>
      </c>
    </row>
    <row r="139" spans="1:15" x14ac:dyDescent="0.45">
      <c r="A139">
        <v>6</v>
      </c>
      <c r="B139" t="s">
        <v>302</v>
      </c>
      <c r="C139">
        <v>3153</v>
      </c>
      <c r="D139">
        <v>327.37400000000002</v>
      </c>
      <c r="E139">
        <v>1032210</v>
      </c>
      <c r="F139">
        <v>307</v>
      </c>
      <c r="G139">
        <v>1032210</v>
      </c>
      <c r="H139">
        <v>393.17700000000002</v>
      </c>
      <c r="I139" t="s">
        <v>130</v>
      </c>
      <c r="J139" t="s">
        <v>27</v>
      </c>
      <c r="K139" t="s">
        <v>164</v>
      </c>
      <c r="L139">
        <f t="shared" si="20"/>
        <v>79.429696969696977</v>
      </c>
      <c r="M139" t="s">
        <v>126</v>
      </c>
      <c r="N139">
        <f t="shared" si="21"/>
        <v>134351.29720214615</v>
      </c>
      <c r="O139">
        <f t="shared" si="14"/>
        <v>1691.4491975640065</v>
      </c>
    </row>
    <row r="140" spans="1:15" x14ac:dyDescent="0.45">
      <c r="A140">
        <v>7</v>
      </c>
      <c r="B140" t="s">
        <v>303</v>
      </c>
      <c r="C140">
        <v>3202</v>
      </c>
      <c r="D140">
        <v>315.85700000000003</v>
      </c>
      <c r="E140">
        <v>1011373</v>
      </c>
      <c r="F140">
        <v>300</v>
      </c>
      <c r="G140">
        <v>1011373</v>
      </c>
      <c r="H140">
        <v>399.733</v>
      </c>
      <c r="I140" t="s">
        <v>131</v>
      </c>
      <c r="J140" t="s">
        <v>27</v>
      </c>
      <c r="K140" t="s">
        <v>164</v>
      </c>
      <c r="L140">
        <f t="shared" si="20"/>
        <v>80.754141414141415</v>
      </c>
      <c r="M140" t="s">
        <v>126</v>
      </c>
      <c r="N140">
        <f t="shared" si="21"/>
        <v>99560.895223999978</v>
      </c>
      <c r="O140">
        <f t="shared" si="14"/>
        <v>1232.8890318257434</v>
      </c>
    </row>
    <row r="141" spans="1:15" x14ac:dyDescent="0.45">
      <c r="A141">
        <v>8</v>
      </c>
      <c r="B141" t="s">
        <v>304</v>
      </c>
      <c r="C141">
        <v>3266</v>
      </c>
      <c r="D141">
        <v>323.596</v>
      </c>
      <c r="E141">
        <v>1056866</v>
      </c>
      <c r="F141">
        <v>302</v>
      </c>
      <c r="G141">
        <v>1056866</v>
      </c>
      <c r="H141">
        <v>409.25700000000001</v>
      </c>
      <c r="I141" t="s">
        <v>132</v>
      </c>
      <c r="J141" t="s">
        <v>27</v>
      </c>
      <c r="K141" t="s">
        <v>164</v>
      </c>
      <c r="L141">
        <f t="shared" si="20"/>
        <v>82.678181818181812</v>
      </c>
      <c r="M141" t="s">
        <v>126</v>
      </c>
      <c r="N141">
        <f t="shared" si="21"/>
        <v>126829.04366070696</v>
      </c>
      <c r="O141">
        <f t="shared" ref="O141:O177" si="22">N141/L141</f>
        <v>1534.0086207945117</v>
      </c>
    </row>
    <row r="142" spans="1:15" x14ac:dyDescent="0.45">
      <c r="A142">
        <v>9</v>
      </c>
      <c r="B142" t="s">
        <v>305</v>
      </c>
      <c r="C142">
        <v>1572</v>
      </c>
      <c r="D142">
        <v>285.60199999999998</v>
      </c>
      <c r="E142">
        <v>448966</v>
      </c>
      <c r="F142">
        <v>286</v>
      </c>
      <c r="G142">
        <v>448966</v>
      </c>
      <c r="H142">
        <v>195.84</v>
      </c>
      <c r="I142" t="s">
        <v>124</v>
      </c>
      <c r="K142" t="s">
        <v>164</v>
      </c>
      <c r="L142">
        <f t="shared" si="20"/>
        <v>39.563636363636363</v>
      </c>
      <c r="M142" t="s">
        <v>126</v>
      </c>
      <c r="O142">
        <f t="shared" si="22"/>
        <v>0</v>
      </c>
    </row>
    <row r="143" spans="1:15" x14ac:dyDescent="0.45">
      <c r="A143">
        <v>10</v>
      </c>
      <c r="B143" t="s">
        <v>306</v>
      </c>
      <c r="C143">
        <v>2465</v>
      </c>
      <c r="D143">
        <v>282.37400000000002</v>
      </c>
      <c r="E143">
        <v>696052</v>
      </c>
      <c r="F143">
        <v>282</v>
      </c>
      <c r="G143">
        <v>696052</v>
      </c>
      <c r="H143">
        <v>307.17099999999999</v>
      </c>
      <c r="I143" t="s">
        <v>124</v>
      </c>
      <c r="K143" t="s">
        <v>164</v>
      </c>
      <c r="L143">
        <f t="shared" si="20"/>
        <v>62.054747474747472</v>
      </c>
      <c r="M143" t="s">
        <v>126</v>
      </c>
      <c r="O143">
        <f t="shared" si="22"/>
        <v>0</v>
      </c>
    </row>
    <row r="144" spans="1:15" x14ac:dyDescent="0.45">
      <c r="A144">
        <v>11</v>
      </c>
      <c r="B144" t="s">
        <v>307</v>
      </c>
      <c r="C144">
        <v>1993</v>
      </c>
      <c r="D144">
        <v>286.31400000000002</v>
      </c>
      <c r="E144">
        <v>570624</v>
      </c>
      <c r="F144">
        <v>286</v>
      </c>
      <c r="G144">
        <v>570624</v>
      </c>
      <c r="H144">
        <v>248.661</v>
      </c>
      <c r="I144" t="s">
        <v>124</v>
      </c>
      <c r="K144" t="s">
        <v>164</v>
      </c>
      <c r="L144">
        <f t="shared" si="20"/>
        <v>50.234545454545454</v>
      </c>
      <c r="M144" t="s">
        <v>126</v>
      </c>
      <c r="O144">
        <f t="shared" si="22"/>
        <v>0</v>
      </c>
    </row>
    <row r="145" spans="1:15" x14ac:dyDescent="0.45">
      <c r="A145">
        <v>1</v>
      </c>
      <c r="B145" t="s">
        <v>308</v>
      </c>
      <c r="C145">
        <v>2897</v>
      </c>
      <c r="D145">
        <v>301.97800000000001</v>
      </c>
      <c r="E145">
        <v>874829</v>
      </c>
      <c r="F145">
        <v>288</v>
      </c>
      <c r="G145">
        <v>874829</v>
      </c>
      <c r="H145">
        <v>361.71800000000002</v>
      </c>
      <c r="I145" t="s">
        <v>133</v>
      </c>
      <c r="J145" t="s">
        <v>27</v>
      </c>
      <c r="K145" t="s">
        <v>164</v>
      </c>
      <c r="L145">
        <f t="shared" si="20"/>
        <v>73.074343434343433</v>
      </c>
      <c r="M145" t="s">
        <v>134</v>
      </c>
      <c r="N145">
        <f>G145-(((G$153/C$153*C145)+(G$154/C$154*C145)+(G$155/C$155*C145))/3)</f>
        <v>50003.684957119753</v>
      </c>
      <c r="O145">
        <f t="shared" si="22"/>
        <v>684.28510756374521</v>
      </c>
    </row>
    <row r="146" spans="1:15" x14ac:dyDescent="0.45">
      <c r="A146">
        <v>2</v>
      </c>
      <c r="B146" t="s">
        <v>309</v>
      </c>
      <c r="C146">
        <v>2949</v>
      </c>
      <c r="D146">
        <v>323.68</v>
      </c>
      <c r="E146">
        <v>954532</v>
      </c>
      <c r="F146">
        <v>303</v>
      </c>
      <c r="G146">
        <v>954532</v>
      </c>
      <c r="H146">
        <v>368.63299999999998</v>
      </c>
      <c r="I146" t="s">
        <v>160</v>
      </c>
      <c r="J146" t="s">
        <v>27</v>
      </c>
      <c r="K146" t="s">
        <v>164</v>
      </c>
      <c r="L146">
        <f t="shared" si="20"/>
        <v>74.471313131313124</v>
      </c>
      <c r="M146" t="s">
        <v>134</v>
      </c>
      <c r="N146">
        <f>G146-(((G$153/C$153*C146)+(G$154/C$154*C146)+(G$155/C$155*C146))/3)</f>
        <v>114901.39797671593</v>
      </c>
      <c r="O146">
        <f t="shared" si="22"/>
        <v>1542.8947489365953</v>
      </c>
    </row>
    <row r="147" spans="1:15" x14ac:dyDescent="0.45">
      <c r="A147">
        <v>3</v>
      </c>
      <c r="B147" t="s">
        <v>310</v>
      </c>
      <c r="C147">
        <v>3159</v>
      </c>
      <c r="D147">
        <v>325.85500000000002</v>
      </c>
      <c r="E147">
        <v>1029376</v>
      </c>
      <c r="F147">
        <v>298</v>
      </c>
      <c r="G147">
        <v>1029376</v>
      </c>
      <c r="H147">
        <v>394.745</v>
      </c>
      <c r="I147" t="s">
        <v>135</v>
      </c>
      <c r="J147" t="s">
        <v>27</v>
      </c>
      <c r="K147" t="s">
        <v>164</v>
      </c>
      <c r="L147">
        <f t="shared" si="20"/>
        <v>79.746464646464645</v>
      </c>
      <c r="M147" t="s">
        <v>134</v>
      </c>
      <c r="N147">
        <f>G147-(((G$153/C$153*C147)+(G$154/C$154*C147)+(G$155/C$155*C147))/3)</f>
        <v>129954.81594046985</v>
      </c>
      <c r="O147">
        <f t="shared" si="22"/>
        <v>1629.5997134994129</v>
      </c>
    </row>
    <row r="148" spans="1:15" x14ac:dyDescent="0.45">
      <c r="A148">
        <v>4</v>
      </c>
      <c r="B148" t="s">
        <v>311</v>
      </c>
      <c r="C148">
        <v>3051</v>
      </c>
      <c r="D148">
        <v>323.15600000000001</v>
      </c>
      <c r="E148">
        <v>985950</v>
      </c>
      <c r="F148">
        <v>299</v>
      </c>
      <c r="G148">
        <v>985950</v>
      </c>
      <c r="H148">
        <v>380.49400000000003</v>
      </c>
      <c r="I148" t="s">
        <v>136</v>
      </c>
      <c r="J148" t="s">
        <v>27</v>
      </c>
      <c r="K148" t="s">
        <v>164</v>
      </c>
      <c r="L148">
        <f t="shared" si="20"/>
        <v>76.867474747474745</v>
      </c>
      <c r="M148" t="s">
        <v>134</v>
      </c>
      <c r="N148">
        <f>G148-(((G$153/C$153*C148)+(G$154/C$154*C148)+(G$155/C$155*C148))/3)</f>
        <v>117278.25813053933</v>
      </c>
      <c r="O148">
        <f t="shared" si="22"/>
        <v>1525.720189401593</v>
      </c>
    </row>
    <row r="149" spans="1:15" x14ac:dyDescent="0.45">
      <c r="A149">
        <v>5</v>
      </c>
      <c r="B149" t="s">
        <v>312</v>
      </c>
      <c r="C149">
        <v>2947</v>
      </c>
      <c r="D149">
        <v>342.74700000000001</v>
      </c>
      <c r="E149">
        <v>1010075</v>
      </c>
      <c r="F149">
        <v>307</v>
      </c>
      <c r="G149">
        <v>1010075</v>
      </c>
      <c r="H149">
        <v>367.46499999999997</v>
      </c>
      <c r="I149" t="s">
        <v>137</v>
      </c>
      <c r="J149" t="s">
        <v>27</v>
      </c>
      <c r="K149" t="s">
        <v>164</v>
      </c>
      <c r="L149">
        <f t="shared" si="20"/>
        <v>74.235353535353525</v>
      </c>
      <c r="M149" t="s">
        <v>134</v>
      </c>
      <c r="N149">
        <f>G149-(((G$153/C$153*C149)+(G$154/C$154*C149)+(G$155/C$155*C149))/3)</f>
        <v>171013.83209134685</v>
      </c>
      <c r="O149">
        <f t="shared" si="22"/>
        <v>2303.6710131636128</v>
      </c>
    </row>
    <row r="150" spans="1:15" x14ac:dyDescent="0.45">
      <c r="A150">
        <v>6</v>
      </c>
      <c r="B150" t="s">
        <v>313</v>
      </c>
      <c r="C150">
        <v>2978</v>
      </c>
      <c r="D150">
        <v>298.327</v>
      </c>
      <c r="E150">
        <v>888417</v>
      </c>
      <c r="F150">
        <v>289</v>
      </c>
      <c r="G150">
        <v>888417</v>
      </c>
      <c r="H150">
        <v>372.63</v>
      </c>
      <c r="I150" t="s">
        <v>138</v>
      </c>
      <c r="J150" t="s">
        <v>27</v>
      </c>
      <c r="K150" t="s">
        <v>164</v>
      </c>
      <c r="L150">
        <f t="shared" si="20"/>
        <v>75.278787878787881</v>
      </c>
      <c r="M150" t="s">
        <v>134</v>
      </c>
      <c r="N150">
        <f t="shared" ref="N150:N152" si="23">G150-(((G$153/C$153*C150)+(G$154/C$154*C150)+(G$155/C$155*C150))/3)</f>
        <v>40529.603314567707</v>
      </c>
      <c r="O150">
        <f t="shared" si="22"/>
        <v>538.39341010415194</v>
      </c>
    </row>
    <row r="151" spans="1:15" x14ac:dyDescent="0.45">
      <c r="A151">
        <v>7</v>
      </c>
      <c r="B151" t="s">
        <v>314</v>
      </c>
      <c r="C151">
        <v>3098</v>
      </c>
      <c r="D151">
        <v>305.38</v>
      </c>
      <c r="E151">
        <v>946067</v>
      </c>
      <c r="F151">
        <v>291</v>
      </c>
      <c r="G151">
        <v>946067</v>
      </c>
      <c r="H151">
        <v>387.31700000000001</v>
      </c>
      <c r="I151" t="s">
        <v>139</v>
      </c>
      <c r="J151" t="s">
        <v>27</v>
      </c>
      <c r="K151" t="s">
        <v>164</v>
      </c>
      <c r="L151">
        <f t="shared" si="20"/>
        <v>78.245858585858585</v>
      </c>
      <c r="M151" t="s">
        <v>134</v>
      </c>
      <c r="N151">
        <f t="shared" si="23"/>
        <v>64013.556436712854</v>
      </c>
      <c r="O151">
        <f t="shared" si="22"/>
        <v>818.10791770495132</v>
      </c>
    </row>
    <row r="152" spans="1:15" x14ac:dyDescent="0.45">
      <c r="A152">
        <v>8</v>
      </c>
      <c r="B152" t="s">
        <v>315</v>
      </c>
      <c r="C152">
        <v>3020</v>
      </c>
      <c r="D152">
        <v>326.55500000000001</v>
      </c>
      <c r="E152">
        <v>986195</v>
      </c>
      <c r="F152">
        <v>305</v>
      </c>
      <c r="G152">
        <v>986195</v>
      </c>
      <c r="H152">
        <v>377.07100000000003</v>
      </c>
      <c r="I152" t="s">
        <v>140</v>
      </c>
      <c r="J152" t="s">
        <v>27</v>
      </c>
      <c r="K152" t="s">
        <v>164</v>
      </c>
      <c r="L152">
        <f t="shared" si="20"/>
        <v>76.175959595959597</v>
      </c>
      <c r="M152" t="s">
        <v>134</v>
      </c>
      <c r="N152">
        <f t="shared" si="23"/>
        <v>126349.48690731858</v>
      </c>
      <c r="O152">
        <f t="shared" si="22"/>
        <v>1658.653039324761</v>
      </c>
    </row>
    <row r="153" spans="1:15" x14ac:dyDescent="0.45">
      <c r="A153">
        <v>9</v>
      </c>
      <c r="B153" t="s">
        <v>316</v>
      </c>
      <c r="C153">
        <v>1569</v>
      </c>
      <c r="D153">
        <v>285.423</v>
      </c>
      <c r="E153">
        <v>447829</v>
      </c>
      <c r="F153">
        <v>285</v>
      </c>
      <c r="G153">
        <v>447829</v>
      </c>
      <c r="H153">
        <v>195.36799999999999</v>
      </c>
      <c r="I153" t="s">
        <v>124</v>
      </c>
      <c r="K153" t="s">
        <v>164</v>
      </c>
      <c r="L153">
        <f t="shared" si="20"/>
        <v>39.468282828282824</v>
      </c>
      <c r="M153" t="s">
        <v>134</v>
      </c>
      <c r="O153">
        <f t="shared" si="22"/>
        <v>0</v>
      </c>
    </row>
    <row r="154" spans="1:15" x14ac:dyDescent="0.45">
      <c r="A154">
        <v>10</v>
      </c>
      <c r="B154" t="s">
        <v>317</v>
      </c>
      <c r="C154">
        <v>1857</v>
      </c>
      <c r="D154">
        <v>285.90699999999998</v>
      </c>
      <c r="E154">
        <v>530930</v>
      </c>
      <c r="F154">
        <v>286</v>
      </c>
      <c r="G154">
        <v>530930</v>
      </c>
      <c r="H154">
        <v>231.619</v>
      </c>
      <c r="I154" t="s">
        <v>124</v>
      </c>
      <c r="K154" t="s">
        <v>164</v>
      </c>
      <c r="L154">
        <f t="shared" si="20"/>
        <v>46.791717171717167</v>
      </c>
      <c r="M154" t="s">
        <v>134</v>
      </c>
      <c r="O154">
        <f t="shared" si="22"/>
        <v>0</v>
      </c>
    </row>
    <row r="155" spans="1:15" x14ac:dyDescent="0.45">
      <c r="A155">
        <v>11</v>
      </c>
      <c r="B155" t="s">
        <v>318</v>
      </c>
      <c r="C155">
        <v>2185</v>
      </c>
      <c r="D155">
        <v>282.82100000000003</v>
      </c>
      <c r="E155">
        <v>617963</v>
      </c>
      <c r="F155">
        <v>283</v>
      </c>
      <c r="G155">
        <v>617963</v>
      </c>
      <c r="H155">
        <v>272.363</v>
      </c>
      <c r="I155" t="s">
        <v>124</v>
      </c>
      <c r="K155" t="s">
        <v>164</v>
      </c>
      <c r="L155">
        <f t="shared" si="20"/>
        <v>55.022828282828279</v>
      </c>
      <c r="M155" t="s">
        <v>134</v>
      </c>
      <c r="O155">
        <f t="shared" si="22"/>
        <v>0</v>
      </c>
    </row>
    <row r="156" spans="1:15" x14ac:dyDescent="0.45">
      <c r="A156">
        <v>1</v>
      </c>
      <c r="B156" t="s">
        <v>319</v>
      </c>
      <c r="C156">
        <v>2581</v>
      </c>
      <c r="D156">
        <v>302.74799999999999</v>
      </c>
      <c r="E156">
        <v>781392</v>
      </c>
      <c r="F156">
        <v>290</v>
      </c>
      <c r="G156">
        <v>781392</v>
      </c>
      <c r="H156">
        <v>321.09300000000002</v>
      </c>
      <c r="I156" t="s">
        <v>141</v>
      </c>
      <c r="J156" t="s">
        <v>27</v>
      </c>
      <c r="K156" t="s">
        <v>164</v>
      </c>
      <c r="L156">
        <f t="shared" si="20"/>
        <v>64.867272727272734</v>
      </c>
      <c r="M156" t="s">
        <v>142</v>
      </c>
      <c r="N156">
        <f>G156-(((G$164/C$164*C156)+(G$165/C$165*C156)+(G$166/C$166*C156))/3)</f>
        <v>44170.596236889134</v>
      </c>
      <c r="O156">
        <f t="shared" si="22"/>
        <v>680.93808140507952</v>
      </c>
    </row>
    <row r="157" spans="1:15" x14ac:dyDescent="0.45">
      <c r="A157">
        <v>2</v>
      </c>
      <c r="B157" t="s">
        <v>320</v>
      </c>
      <c r="C157">
        <v>3115</v>
      </c>
      <c r="D157">
        <v>317.38600000000002</v>
      </c>
      <c r="E157">
        <v>988658</v>
      </c>
      <c r="F157">
        <v>296</v>
      </c>
      <c r="G157">
        <v>988658</v>
      </c>
      <c r="H157">
        <v>389.44299999999998</v>
      </c>
      <c r="I157" t="s">
        <v>143</v>
      </c>
      <c r="J157" t="s">
        <v>27</v>
      </c>
      <c r="K157" t="s">
        <v>164</v>
      </c>
      <c r="L157">
        <f t="shared" si="20"/>
        <v>78.675353535353523</v>
      </c>
      <c r="M157" t="s">
        <v>142</v>
      </c>
      <c r="N157">
        <f>G157-(((G$164/C$164*C157)+(G$165/C$165*C157)+(G$166/C$166*C157))/3)</f>
        <v>98908.029941073037</v>
      </c>
      <c r="O157">
        <f t="shared" si="22"/>
        <v>1257.1666410959026</v>
      </c>
    </row>
    <row r="158" spans="1:15" x14ac:dyDescent="0.45">
      <c r="A158">
        <v>3</v>
      </c>
      <c r="B158" t="s">
        <v>321</v>
      </c>
      <c r="C158">
        <v>2584</v>
      </c>
      <c r="D158">
        <v>328.75</v>
      </c>
      <c r="E158">
        <v>849491</v>
      </c>
      <c r="F158">
        <v>304</v>
      </c>
      <c r="G158">
        <v>849491</v>
      </c>
      <c r="H158">
        <v>321.73399999999998</v>
      </c>
      <c r="I158" t="s">
        <v>144</v>
      </c>
      <c r="J158" t="s">
        <v>27</v>
      </c>
      <c r="K158" t="s">
        <v>164</v>
      </c>
      <c r="L158">
        <f t="shared" si="20"/>
        <v>64.996767676767675</v>
      </c>
      <c r="M158" t="s">
        <v>142</v>
      </c>
      <c r="N158">
        <f t="shared" ref="N158:N163" si="24">G158-(((G$164/C$164*C158)+(G$165/C$165*C158)+(G$166/C$166*C158))/3)</f>
        <v>111412.69417904736</v>
      </c>
      <c r="O158">
        <f t="shared" si="22"/>
        <v>1714.1266890856562</v>
      </c>
    </row>
    <row r="159" spans="1:15" x14ac:dyDescent="0.45">
      <c r="A159">
        <v>4</v>
      </c>
      <c r="B159" t="s">
        <v>322</v>
      </c>
      <c r="C159">
        <v>2474</v>
      </c>
      <c r="D159">
        <v>322.24</v>
      </c>
      <c r="E159">
        <v>797222</v>
      </c>
      <c r="F159">
        <v>300</v>
      </c>
      <c r="G159">
        <v>797222</v>
      </c>
      <c r="H159">
        <v>308.44</v>
      </c>
      <c r="I159" t="s">
        <v>145</v>
      </c>
      <c r="J159" t="s">
        <v>27</v>
      </c>
      <c r="K159" t="s">
        <v>164</v>
      </c>
      <c r="L159">
        <f t="shared" si="20"/>
        <v>62.31111111111111</v>
      </c>
      <c r="M159" t="s">
        <v>142</v>
      </c>
      <c r="N159">
        <f t="shared" si="24"/>
        <v>90563.436299908441</v>
      </c>
      <c r="O159">
        <f t="shared" si="22"/>
        <v>1453.4075012467474</v>
      </c>
    </row>
    <row r="160" spans="1:15" x14ac:dyDescent="0.45">
      <c r="A160">
        <v>5</v>
      </c>
      <c r="B160" t="s">
        <v>323</v>
      </c>
      <c r="C160">
        <v>3105</v>
      </c>
      <c r="D160">
        <v>322.76600000000002</v>
      </c>
      <c r="E160">
        <v>1002189</v>
      </c>
      <c r="F160">
        <v>294</v>
      </c>
      <c r="G160">
        <v>1002189</v>
      </c>
      <c r="H160">
        <v>387.28500000000003</v>
      </c>
      <c r="I160" t="s">
        <v>146</v>
      </c>
      <c r="J160" t="s">
        <v>27</v>
      </c>
      <c r="K160" t="s">
        <v>164</v>
      </c>
      <c r="L160">
        <f t="shared" si="20"/>
        <v>78.239393939393935</v>
      </c>
      <c r="M160" t="s">
        <v>142</v>
      </c>
      <c r="N160">
        <f t="shared" si="24"/>
        <v>115295.37013387855</v>
      </c>
      <c r="O160">
        <f t="shared" si="22"/>
        <v>1473.6229964049701</v>
      </c>
    </row>
    <row r="161" spans="1:15" x14ac:dyDescent="0.45">
      <c r="A161">
        <v>6</v>
      </c>
      <c r="B161" t="s">
        <v>324</v>
      </c>
      <c r="C161">
        <v>3233</v>
      </c>
      <c r="D161">
        <v>324.57799999999997</v>
      </c>
      <c r="E161">
        <v>1049362</v>
      </c>
      <c r="F161">
        <v>300</v>
      </c>
      <c r="G161">
        <v>1049362</v>
      </c>
      <c r="H161">
        <v>404.84300000000002</v>
      </c>
      <c r="I161" t="s">
        <v>147</v>
      </c>
      <c r="J161" t="s">
        <v>27</v>
      </c>
      <c r="K161" t="s">
        <v>164</v>
      </c>
      <c r="L161">
        <f t="shared" si="20"/>
        <v>81.786464646464651</v>
      </c>
      <c r="M161" t="s">
        <v>142</v>
      </c>
      <c r="N161">
        <f t="shared" si="24"/>
        <v>125907.21566596755</v>
      </c>
      <c r="O161">
        <f>N161/L161</f>
        <v>1539.4627486372233</v>
      </c>
    </row>
    <row r="162" spans="1:15" x14ac:dyDescent="0.45">
      <c r="A162">
        <v>7</v>
      </c>
      <c r="B162" t="s">
        <v>325</v>
      </c>
      <c r="C162">
        <v>2766</v>
      </c>
      <c r="D162">
        <v>312.27</v>
      </c>
      <c r="E162">
        <v>863738</v>
      </c>
      <c r="F162">
        <v>296</v>
      </c>
      <c r="G162">
        <v>863738</v>
      </c>
      <c r="H162">
        <v>345.47300000000001</v>
      </c>
      <c r="I162" t="s">
        <v>148</v>
      </c>
      <c r="J162" t="s">
        <v>27</v>
      </c>
      <c r="K162" t="s">
        <v>164</v>
      </c>
      <c r="L162">
        <f t="shared" si="20"/>
        <v>69.792525252525252</v>
      </c>
      <c r="M162" t="s">
        <v>142</v>
      </c>
      <c r="N162">
        <f t="shared" si="24"/>
        <v>73674.3026699865</v>
      </c>
      <c r="O162">
        <f t="shared" si="22"/>
        <v>1055.6188130951859</v>
      </c>
    </row>
    <row r="163" spans="1:15" x14ac:dyDescent="0.45">
      <c r="A163">
        <v>8</v>
      </c>
      <c r="B163" t="s">
        <v>326</v>
      </c>
      <c r="C163">
        <v>2671</v>
      </c>
      <c r="D163">
        <v>312.00700000000001</v>
      </c>
      <c r="E163">
        <v>833371</v>
      </c>
      <c r="F163">
        <v>294</v>
      </c>
      <c r="G163">
        <v>833371</v>
      </c>
      <c r="H163">
        <v>333.53500000000003</v>
      </c>
      <c r="I163" t="s">
        <v>149</v>
      </c>
      <c r="J163" t="s">
        <v>27</v>
      </c>
      <c r="K163" t="s">
        <v>164</v>
      </c>
      <c r="L163">
        <f t="shared" si="20"/>
        <v>67.38080808080808</v>
      </c>
      <c r="M163" t="s">
        <v>142</v>
      </c>
      <c r="N163">
        <f t="shared" si="24"/>
        <v>70442.534501639195</v>
      </c>
      <c r="O163">
        <f t="shared" si="22"/>
        <v>1045.4391466656093</v>
      </c>
    </row>
    <row r="164" spans="1:15" x14ac:dyDescent="0.45">
      <c r="A164">
        <v>9</v>
      </c>
      <c r="B164" t="s">
        <v>327</v>
      </c>
      <c r="C164">
        <v>1712</v>
      </c>
      <c r="D164">
        <v>285.411</v>
      </c>
      <c r="E164">
        <v>488623</v>
      </c>
      <c r="F164">
        <v>285</v>
      </c>
      <c r="G164">
        <v>488623</v>
      </c>
      <c r="H164">
        <v>213.184</v>
      </c>
      <c r="I164" t="s">
        <v>124</v>
      </c>
      <c r="K164" t="s">
        <v>164</v>
      </c>
      <c r="L164">
        <f t="shared" si="20"/>
        <v>43.067474747474748</v>
      </c>
      <c r="M164" t="s">
        <v>142</v>
      </c>
      <c r="O164">
        <f t="shared" si="22"/>
        <v>0</v>
      </c>
    </row>
    <row r="165" spans="1:15" x14ac:dyDescent="0.45">
      <c r="A165">
        <v>10</v>
      </c>
      <c r="B165" t="s">
        <v>328</v>
      </c>
      <c r="C165">
        <v>1685</v>
      </c>
      <c r="D165">
        <v>285.75799999999998</v>
      </c>
      <c r="E165">
        <v>481503</v>
      </c>
      <c r="F165">
        <v>286</v>
      </c>
      <c r="G165">
        <v>481503</v>
      </c>
      <c r="H165">
        <v>209.208</v>
      </c>
      <c r="I165" t="s">
        <v>124</v>
      </c>
      <c r="K165" t="s">
        <v>164</v>
      </c>
      <c r="L165">
        <f t="shared" si="20"/>
        <v>42.264242424242425</v>
      </c>
      <c r="M165" t="s">
        <v>142</v>
      </c>
      <c r="O165">
        <f t="shared" si="22"/>
        <v>0</v>
      </c>
    </row>
    <row r="166" spans="1:15" x14ac:dyDescent="0.45">
      <c r="A166">
        <v>11</v>
      </c>
      <c r="B166" t="s">
        <v>329</v>
      </c>
      <c r="C166">
        <v>1835</v>
      </c>
      <c r="D166">
        <v>285.733</v>
      </c>
      <c r="E166">
        <v>524320</v>
      </c>
      <c r="F166">
        <v>286</v>
      </c>
      <c r="G166">
        <v>524320</v>
      </c>
      <c r="H166">
        <v>227.53200000000001</v>
      </c>
      <c r="I166" t="s">
        <v>124</v>
      </c>
      <c r="K166" t="s">
        <v>164</v>
      </c>
      <c r="L166">
        <f t="shared" si="20"/>
        <v>45.966060606060609</v>
      </c>
      <c r="M166" t="s">
        <v>142</v>
      </c>
      <c r="O166">
        <f t="shared" si="22"/>
        <v>0</v>
      </c>
    </row>
    <row r="167" spans="1:15" x14ac:dyDescent="0.45">
      <c r="A167">
        <v>1</v>
      </c>
      <c r="B167" t="s">
        <v>330</v>
      </c>
      <c r="C167">
        <v>3180</v>
      </c>
      <c r="D167">
        <v>305.81400000000002</v>
      </c>
      <c r="E167">
        <v>972490</v>
      </c>
      <c r="F167">
        <v>290</v>
      </c>
      <c r="G167">
        <v>972490</v>
      </c>
      <c r="H167">
        <v>396.80799999999999</v>
      </c>
      <c r="I167" t="s">
        <v>150</v>
      </c>
      <c r="J167" t="s">
        <v>27</v>
      </c>
      <c r="K167" t="s">
        <v>164</v>
      </c>
      <c r="L167">
        <f t="shared" si="20"/>
        <v>80.163232323232322</v>
      </c>
      <c r="M167" t="s">
        <v>151</v>
      </c>
      <c r="N167">
        <f t="shared" ref="N167:N171" si="25">G167-(((G$175/C$175*C167)+(G$176/C$176*C167)+(G$177/C$177*C167))/3)</f>
        <v>64324.899472779594</v>
      </c>
      <c r="O167">
        <f t="shared" si="22"/>
        <v>802.4239742904856</v>
      </c>
    </row>
    <row r="168" spans="1:15" x14ac:dyDescent="0.45">
      <c r="A168">
        <v>2</v>
      </c>
      <c r="B168" t="s">
        <v>331</v>
      </c>
      <c r="C168">
        <v>3106</v>
      </c>
      <c r="D168">
        <v>317.846</v>
      </c>
      <c r="E168">
        <v>987230</v>
      </c>
      <c r="F168">
        <v>293</v>
      </c>
      <c r="G168">
        <v>987230</v>
      </c>
      <c r="H168">
        <v>387.53699999999998</v>
      </c>
      <c r="I168" t="s">
        <v>152</v>
      </c>
      <c r="J168" t="s">
        <v>27</v>
      </c>
      <c r="K168" t="s">
        <v>164</v>
      </c>
      <c r="L168">
        <f t="shared" si="20"/>
        <v>78.290303030303022</v>
      </c>
      <c r="M168" t="s">
        <v>151</v>
      </c>
      <c r="N168">
        <f t="shared" si="25"/>
        <v>100198.30118316144</v>
      </c>
      <c r="O168">
        <f t="shared" si="22"/>
        <v>1279.8302893830762</v>
      </c>
    </row>
    <row r="169" spans="1:15" x14ac:dyDescent="0.45">
      <c r="A169">
        <v>3</v>
      </c>
      <c r="B169" t="s">
        <v>332</v>
      </c>
      <c r="C169">
        <v>3165</v>
      </c>
      <c r="D169">
        <v>317.58800000000002</v>
      </c>
      <c r="E169">
        <v>1005166</v>
      </c>
      <c r="F169">
        <v>294</v>
      </c>
      <c r="G169">
        <v>1005166</v>
      </c>
      <c r="H169">
        <v>395.096</v>
      </c>
      <c r="I169" t="s">
        <v>153</v>
      </c>
      <c r="J169" t="s">
        <v>27</v>
      </c>
      <c r="K169" t="s">
        <v>164</v>
      </c>
      <c r="L169">
        <f t="shared" si="20"/>
        <v>79.817373737373728</v>
      </c>
      <c r="M169" t="s">
        <v>151</v>
      </c>
      <c r="N169">
        <f t="shared" si="25"/>
        <v>101284.6971167759</v>
      </c>
      <c r="O169">
        <f t="shared" si="22"/>
        <v>1268.9555215138619</v>
      </c>
    </row>
    <row r="170" spans="1:15" x14ac:dyDescent="0.45">
      <c r="A170">
        <v>4</v>
      </c>
      <c r="B170" t="s">
        <v>333</v>
      </c>
      <c r="C170">
        <v>3217</v>
      </c>
      <c r="D170">
        <v>335.70699999999999</v>
      </c>
      <c r="E170">
        <v>1079969</v>
      </c>
      <c r="F170">
        <v>301</v>
      </c>
      <c r="G170">
        <v>1079969</v>
      </c>
      <c r="H170">
        <v>401.94799999999998</v>
      </c>
      <c r="I170" t="s">
        <v>154</v>
      </c>
      <c r="J170" t="s">
        <v>27</v>
      </c>
      <c r="K170" t="s">
        <v>164</v>
      </c>
      <c r="L170">
        <f t="shared" si="20"/>
        <v>81.201616161616158</v>
      </c>
      <c r="M170" t="s">
        <v>151</v>
      </c>
      <c r="N170">
        <f t="shared" si="25"/>
        <v>161237.19861758873</v>
      </c>
      <c r="O170">
        <f t="shared" si="22"/>
        <v>1985.6402648030696</v>
      </c>
    </row>
    <row r="171" spans="1:15" x14ac:dyDescent="0.45">
      <c r="A171">
        <v>5</v>
      </c>
      <c r="B171" t="s">
        <v>334</v>
      </c>
      <c r="C171">
        <v>2883</v>
      </c>
      <c r="D171">
        <v>323.02499999999998</v>
      </c>
      <c r="E171">
        <v>931280</v>
      </c>
      <c r="F171">
        <v>301</v>
      </c>
      <c r="G171">
        <v>931280</v>
      </c>
      <c r="H171">
        <v>360.45400000000001</v>
      </c>
      <c r="I171" t="s">
        <v>155</v>
      </c>
      <c r="J171" t="s">
        <v>27</v>
      </c>
      <c r="K171" t="s">
        <v>164</v>
      </c>
      <c r="L171">
        <f t="shared" si="20"/>
        <v>72.818989898989898</v>
      </c>
      <c r="M171" t="s">
        <v>151</v>
      </c>
      <c r="N171">
        <f t="shared" si="25"/>
        <v>107934.0928239068</v>
      </c>
      <c r="O171">
        <f t="shared" si="22"/>
        <v>1482.2245265091765</v>
      </c>
    </row>
    <row r="172" spans="1:15" x14ac:dyDescent="0.45">
      <c r="A172">
        <v>6</v>
      </c>
      <c r="B172" t="s">
        <v>335</v>
      </c>
      <c r="C172">
        <v>2387</v>
      </c>
      <c r="D172">
        <v>305.54399999999998</v>
      </c>
      <c r="E172">
        <v>729334</v>
      </c>
      <c r="F172">
        <v>295</v>
      </c>
      <c r="G172">
        <v>729334</v>
      </c>
      <c r="H172">
        <v>297.99799999999999</v>
      </c>
      <c r="I172" t="s">
        <v>156</v>
      </c>
      <c r="J172" t="s">
        <v>27</v>
      </c>
      <c r="K172" t="s">
        <v>164</v>
      </c>
      <c r="L172">
        <f t="shared" si="20"/>
        <v>60.201616161616158</v>
      </c>
      <c r="M172" t="s">
        <v>151</v>
      </c>
      <c r="N172">
        <f>G172-(((G$175/C$175*C172)+(G$176/C$176*C172)+(G$177/C$177*C172))/3)</f>
        <v>47639.00158538518</v>
      </c>
      <c r="O172">
        <f t="shared" si="22"/>
        <v>791.32429696728389</v>
      </c>
    </row>
    <row r="173" spans="1:15" x14ac:dyDescent="0.45">
      <c r="A173">
        <v>7</v>
      </c>
      <c r="B173" t="s">
        <v>336</v>
      </c>
      <c r="C173">
        <v>3207</v>
      </c>
      <c r="D173">
        <v>325.73099999999999</v>
      </c>
      <c r="E173">
        <v>1044618</v>
      </c>
      <c r="F173">
        <v>302</v>
      </c>
      <c r="G173">
        <v>1044618</v>
      </c>
      <c r="H173">
        <v>400.767</v>
      </c>
      <c r="I173" t="s">
        <v>157</v>
      </c>
      <c r="J173" t="s">
        <v>27</v>
      </c>
      <c r="K173" t="s">
        <v>164</v>
      </c>
      <c r="L173">
        <f t="shared" si="20"/>
        <v>80.963030303030294</v>
      </c>
      <c r="M173" t="s">
        <v>151</v>
      </c>
      <c r="N173">
        <f t="shared" ref="N173:N174" si="26">G173-(((G$175/C$175*C173)+(G$176/C$176*C173)+(G$177/C$177*C173))/3)</f>
        <v>128742.06371358631</v>
      </c>
      <c r="O173">
        <f t="shared" si="22"/>
        <v>1590.133956593862</v>
      </c>
    </row>
    <row r="174" spans="1:15" x14ac:dyDescent="0.45">
      <c r="A174">
        <v>8</v>
      </c>
      <c r="B174" t="s">
        <v>337</v>
      </c>
      <c r="C174">
        <v>3052</v>
      </c>
      <c r="D174">
        <v>317.93200000000002</v>
      </c>
      <c r="E174">
        <v>970329</v>
      </c>
      <c r="F174">
        <v>297</v>
      </c>
      <c r="G174">
        <v>970329</v>
      </c>
      <c r="H174">
        <v>381.41899999999998</v>
      </c>
      <c r="I174" t="s">
        <v>158</v>
      </c>
      <c r="J174" t="s">
        <v>27</v>
      </c>
      <c r="K174" t="s">
        <v>164</v>
      </c>
      <c r="L174">
        <f t="shared" si="20"/>
        <v>77.054343434343423</v>
      </c>
      <c r="M174" t="s">
        <v>151</v>
      </c>
      <c r="N174">
        <f t="shared" si="26"/>
        <v>98718.972701548249</v>
      </c>
      <c r="O174">
        <f t="shared" si="22"/>
        <v>1281.160390207787</v>
      </c>
    </row>
    <row r="175" spans="1:15" x14ac:dyDescent="0.45">
      <c r="A175">
        <v>9</v>
      </c>
      <c r="B175" t="s">
        <v>338</v>
      </c>
      <c r="C175">
        <v>1987</v>
      </c>
      <c r="D175">
        <v>285.584</v>
      </c>
      <c r="E175">
        <v>567455</v>
      </c>
      <c r="F175">
        <v>286</v>
      </c>
      <c r="G175">
        <v>567455</v>
      </c>
      <c r="H175">
        <v>247.11</v>
      </c>
      <c r="I175" t="s">
        <v>124</v>
      </c>
      <c r="K175" t="s">
        <v>164</v>
      </c>
      <c r="L175">
        <f t="shared" si="20"/>
        <v>49.921212121212122</v>
      </c>
      <c r="M175" t="s">
        <v>151</v>
      </c>
      <c r="O175">
        <f t="shared" si="22"/>
        <v>0</v>
      </c>
    </row>
    <row r="176" spans="1:15" x14ac:dyDescent="0.45">
      <c r="A176">
        <v>10</v>
      </c>
      <c r="B176" t="s">
        <v>339</v>
      </c>
      <c r="C176">
        <v>2007</v>
      </c>
      <c r="D176">
        <v>286.05700000000002</v>
      </c>
      <c r="E176">
        <v>574116</v>
      </c>
      <c r="F176">
        <v>286</v>
      </c>
      <c r="G176">
        <v>574116</v>
      </c>
      <c r="H176">
        <v>250.08799999999999</v>
      </c>
      <c r="I176" t="s">
        <v>124</v>
      </c>
      <c r="K176" t="s">
        <v>164</v>
      </c>
      <c r="L176">
        <f t="shared" si="20"/>
        <v>50.522828282828279</v>
      </c>
      <c r="M176" t="s">
        <v>151</v>
      </c>
      <c r="O176">
        <f t="shared" si="22"/>
        <v>0</v>
      </c>
    </row>
    <row r="177" spans="1:15" x14ac:dyDescent="0.45">
      <c r="A177">
        <v>11</v>
      </c>
      <c r="B177" t="s">
        <v>340</v>
      </c>
      <c r="C177">
        <v>2699</v>
      </c>
      <c r="D177">
        <v>285.11900000000003</v>
      </c>
      <c r="E177">
        <v>769536</v>
      </c>
      <c r="F177">
        <v>285</v>
      </c>
      <c r="G177">
        <v>769536</v>
      </c>
      <c r="H177">
        <v>337.26499999999999</v>
      </c>
      <c r="I177" t="s">
        <v>124</v>
      </c>
      <c r="K177" t="s">
        <v>164</v>
      </c>
      <c r="L177">
        <f t="shared" si="20"/>
        <v>68.134343434343435</v>
      </c>
      <c r="M177" t="s">
        <v>151</v>
      </c>
      <c r="O177">
        <f t="shared" si="22"/>
        <v>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2023-06-20T13:40:46Z</dcterms:modified>
</cp:coreProperties>
</file>