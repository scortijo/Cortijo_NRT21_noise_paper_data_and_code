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0715" windowHeight="132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67" i="1" l="1"/>
  <c r="N156" i="1"/>
  <c r="N145" i="1"/>
  <c r="N134" i="1"/>
  <c r="N124" i="1"/>
  <c r="N125" i="1"/>
  <c r="N126" i="1"/>
  <c r="N127" i="1"/>
  <c r="N128" i="1"/>
  <c r="N129" i="1"/>
  <c r="N130" i="1"/>
  <c r="N123" i="1"/>
  <c r="N113" i="1"/>
  <c r="N114" i="1"/>
  <c r="N115" i="1"/>
  <c r="N116" i="1"/>
  <c r="N117" i="1"/>
  <c r="N118" i="1"/>
  <c r="N119" i="1"/>
  <c r="N112" i="1"/>
  <c r="N102" i="1"/>
  <c r="N103" i="1"/>
  <c r="N104" i="1"/>
  <c r="N105" i="1"/>
  <c r="N106" i="1"/>
  <c r="N107" i="1"/>
  <c r="N108" i="1"/>
  <c r="N101" i="1"/>
  <c r="N91" i="1"/>
  <c r="N92" i="1"/>
  <c r="N93" i="1"/>
  <c r="N94" i="1"/>
  <c r="N95" i="1"/>
  <c r="N96" i="1"/>
  <c r="N97" i="1"/>
  <c r="N90" i="1"/>
  <c r="N80" i="1"/>
  <c r="N81" i="1"/>
  <c r="N82" i="1"/>
  <c r="N83" i="1"/>
  <c r="N84" i="1"/>
  <c r="N85" i="1"/>
  <c r="N86" i="1"/>
  <c r="N79" i="1"/>
  <c r="N68" i="1"/>
  <c r="N69" i="1"/>
  <c r="N70" i="1"/>
  <c r="N71" i="1"/>
  <c r="N72" i="1"/>
  <c r="N73" i="1"/>
  <c r="N74" i="1"/>
  <c r="N75" i="1"/>
  <c r="N172" i="1" l="1"/>
  <c r="N171" i="1"/>
  <c r="N169" i="1"/>
  <c r="N168" i="1"/>
  <c r="N157" i="1"/>
  <c r="L34" i="1"/>
  <c r="O5" i="1"/>
  <c r="N4" i="1"/>
  <c r="N3" i="1"/>
  <c r="N2" i="1"/>
  <c r="L133" i="1" l="1"/>
  <c r="L134" i="1"/>
  <c r="L135" i="1"/>
  <c r="L136" i="1"/>
  <c r="L137" i="1"/>
  <c r="L138" i="1"/>
  <c r="L139" i="1"/>
  <c r="L140" i="1"/>
  <c r="L141" i="1"/>
  <c r="L142" i="1"/>
  <c r="L143" i="1"/>
  <c r="O143" i="1" s="1"/>
  <c r="L144" i="1"/>
  <c r="O144" i="1" s="1"/>
  <c r="L145" i="1"/>
  <c r="L146" i="1"/>
  <c r="L147" i="1"/>
  <c r="L148" i="1"/>
  <c r="L149" i="1"/>
  <c r="L150" i="1"/>
  <c r="L151" i="1"/>
  <c r="L152" i="1"/>
  <c r="L153" i="1"/>
  <c r="O153" i="1" s="1"/>
  <c r="L154" i="1"/>
  <c r="L155" i="1"/>
  <c r="O155" i="1" s="1"/>
  <c r="L156" i="1"/>
  <c r="L157" i="1"/>
  <c r="L158" i="1"/>
  <c r="L159" i="1"/>
  <c r="L160" i="1"/>
  <c r="L161" i="1"/>
  <c r="L162" i="1"/>
  <c r="L163" i="1"/>
  <c r="L164" i="1"/>
  <c r="O164" i="1" s="1"/>
  <c r="L165" i="1"/>
  <c r="O165" i="1" s="1"/>
  <c r="L166" i="1"/>
  <c r="L167" i="1"/>
  <c r="L168" i="1"/>
  <c r="L169" i="1"/>
  <c r="L170" i="1"/>
  <c r="L171" i="1"/>
  <c r="L172" i="1"/>
  <c r="L173" i="1"/>
  <c r="L174" i="1"/>
  <c r="L175" i="1"/>
  <c r="O175" i="1" s="1"/>
  <c r="L176" i="1"/>
  <c r="O176" i="1" s="1"/>
  <c r="L177" i="1"/>
  <c r="O142" i="1"/>
  <c r="O150" i="1"/>
  <c r="O154" i="1"/>
  <c r="O166" i="1"/>
  <c r="O177" i="1"/>
  <c r="O157" i="1"/>
  <c r="N158" i="1"/>
  <c r="O158" i="1" s="1"/>
  <c r="N159" i="1"/>
  <c r="N160" i="1"/>
  <c r="N161" i="1"/>
  <c r="O161" i="1" s="1"/>
  <c r="N162" i="1"/>
  <c r="O162" i="1" s="1"/>
  <c r="N163" i="1"/>
  <c r="O169" i="1"/>
  <c r="N170" i="1"/>
  <c r="O170" i="1" s="1"/>
  <c r="N173" i="1"/>
  <c r="O173" i="1" s="1"/>
  <c r="N174" i="1"/>
  <c r="O174" i="1" s="1"/>
  <c r="N141" i="1"/>
  <c r="O141" i="1" s="1"/>
  <c r="N140" i="1"/>
  <c r="N139" i="1"/>
  <c r="N138" i="1"/>
  <c r="O138" i="1" s="1"/>
  <c r="N137" i="1"/>
  <c r="O137" i="1" s="1"/>
  <c r="N136" i="1"/>
  <c r="N135" i="1"/>
  <c r="O135" i="1" s="1"/>
  <c r="O134" i="1"/>
  <c r="N149" i="1"/>
  <c r="O149" i="1" s="1"/>
  <c r="N148" i="1"/>
  <c r="N147" i="1"/>
  <c r="N146" i="1"/>
  <c r="O146" i="1" s="1"/>
  <c r="O145" i="1"/>
  <c r="N150" i="1"/>
  <c r="N151" i="1"/>
  <c r="N152" i="1"/>
  <c r="O172" i="1" l="1"/>
  <c r="O168" i="1"/>
  <c r="O160" i="1"/>
  <c r="O156" i="1"/>
  <c r="O152" i="1"/>
  <c r="O148" i="1"/>
  <c r="O140" i="1"/>
  <c r="O136" i="1"/>
  <c r="O171" i="1"/>
  <c r="O167" i="1"/>
  <c r="O163" i="1"/>
  <c r="O159" i="1"/>
  <c r="O151" i="1"/>
  <c r="O147" i="1"/>
  <c r="O139" i="1"/>
  <c r="N64" i="1"/>
  <c r="N63" i="1"/>
  <c r="N61" i="1"/>
  <c r="N60" i="1"/>
  <c r="N62" i="1"/>
  <c r="N59" i="1"/>
  <c r="N58" i="1"/>
  <c r="N57" i="1"/>
  <c r="N47" i="1"/>
  <c r="O47" i="1" s="1"/>
  <c r="N48" i="1"/>
  <c r="N49" i="1"/>
  <c r="N50" i="1"/>
  <c r="N51" i="1"/>
  <c r="N52" i="1"/>
  <c r="N53" i="1"/>
  <c r="N46" i="1"/>
  <c r="N36" i="1"/>
  <c r="N37" i="1"/>
  <c r="N38" i="1"/>
  <c r="N39" i="1"/>
  <c r="O39" i="1" s="1"/>
  <c r="N40" i="1"/>
  <c r="N41" i="1"/>
  <c r="O41" i="1" s="1"/>
  <c r="N42" i="1"/>
  <c r="N35" i="1"/>
  <c r="L37" i="1"/>
  <c r="L38" i="1"/>
  <c r="L39" i="1"/>
  <c r="L40" i="1"/>
  <c r="L41" i="1"/>
  <c r="L42" i="1"/>
  <c r="L43" i="1"/>
  <c r="O43" i="1" s="1"/>
  <c r="L44" i="1"/>
  <c r="O44" i="1" s="1"/>
  <c r="L45" i="1"/>
  <c r="O45" i="1" s="1"/>
  <c r="L46" i="1"/>
  <c r="L47" i="1"/>
  <c r="L48" i="1"/>
  <c r="L49" i="1"/>
  <c r="L50" i="1"/>
  <c r="L51" i="1"/>
  <c r="L52" i="1"/>
  <c r="L53" i="1"/>
  <c r="L54" i="1"/>
  <c r="O54" i="1" s="1"/>
  <c r="L55" i="1"/>
  <c r="O55" i="1" s="1"/>
  <c r="L56" i="1"/>
  <c r="O56" i="1" s="1"/>
  <c r="L57" i="1"/>
  <c r="L58" i="1"/>
  <c r="L59" i="1"/>
  <c r="L60" i="1"/>
  <c r="L61" i="1"/>
  <c r="L62" i="1"/>
  <c r="L63" i="1"/>
  <c r="L64" i="1"/>
  <c r="L65" i="1"/>
  <c r="O65" i="1" s="1"/>
  <c r="L66" i="1"/>
  <c r="O66" i="1" s="1"/>
  <c r="L67" i="1"/>
  <c r="O67" i="1" s="1"/>
  <c r="L68" i="1"/>
  <c r="O68" i="1" s="1"/>
  <c r="L69" i="1"/>
  <c r="L70" i="1"/>
  <c r="L71" i="1"/>
  <c r="L72" i="1"/>
  <c r="L73" i="1"/>
  <c r="L74" i="1"/>
  <c r="L75" i="1"/>
  <c r="L76" i="1"/>
  <c r="O76" i="1" s="1"/>
  <c r="L77" i="1"/>
  <c r="O77" i="1" s="1"/>
  <c r="L78" i="1"/>
  <c r="O78" i="1" s="1"/>
  <c r="L79" i="1"/>
  <c r="L80" i="1"/>
  <c r="L81" i="1"/>
  <c r="L82" i="1"/>
  <c r="L83" i="1"/>
  <c r="L84" i="1"/>
  <c r="L85" i="1"/>
  <c r="L86" i="1"/>
  <c r="L87" i="1"/>
  <c r="O87" i="1" s="1"/>
  <c r="L88" i="1"/>
  <c r="O88" i="1" s="1"/>
  <c r="L89" i="1"/>
  <c r="O89" i="1" s="1"/>
  <c r="L90" i="1"/>
  <c r="L91" i="1"/>
  <c r="L92" i="1"/>
  <c r="L93" i="1"/>
  <c r="L94" i="1"/>
  <c r="L95" i="1"/>
  <c r="L96" i="1"/>
  <c r="L97" i="1"/>
  <c r="L98" i="1"/>
  <c r="O98" i="1" s="1"/>
  <c r="L99" i="1"/>
  <c r="O99" i="1" s="1"/>
  <c r="L100" i="1"/>
  <c r="O100" i="1" s="1"/>
  <c r="L101" i="1"/>
  <c r="L102" i="1"/>
  <c r="L103" i="1"/>
  <c r="L104" i="1"/>
  <c r="L105" i="1"/>
  <c r="L106" i="1"/>
  <c r="L107" i="1"/>
  <c r="L108" i="1"/>
  <c r="L109" i="1"/>
  <c r="O109" i="1" s="1"/>
  <c r="L110" i="1"/>
  <c r="O110" i="1" s="1"/>
  <c r="L111" i="1"/>
  <c r="O111" i="1" s="1"/>
  <c r="L112" i="1"/>
  <c r="L113" i="1"/>
  <c r="L114" i="1"/>
  <c r="L115" i="1"/>
  <c r="L116" i="1"/>
  <c r="L117" i="1"/>
  <c r="L118" i="1"/>
  <c r="L119" i="1"/>
  <c r="L120" i="1"/>
  <c r="O120" i="1" s="1"/>
  <c r="L121" i="1"/>
  <c r="O121" i="1" s="1"/>
  <c r="L122" i="1"/>
  <c r="O122" i="1" s="1"/>
  <c r="L123" i="1"/>
  <c r="L124" i="1"/>
  <c r="L125" i="1"/>
  <c r="L126" i="1"/>
  <c r="L127" i="1"/>
  <c r="L128" i="1"/>
  <c r="L129" i="1"/>
  <c r="L130" i="1"/>
  <c r="L131" i="1"/>
  <c r="O131" i="1" s="1"/>
  <c r="L132" i="1"/>
  <c r="O132" i="1" s="1"/>
  <c r="O133" i="1"/>
  <c r="O69" i="1" l="1"/>
  <c r="O37" i="1"/>
  <c r="O40" i="1"/>
  <c r="O57" i="1"/>
  <c r="O42" i="1"/>
  <c r="O38" i="1"/>
  <c r="O48" i="1"/>
  <c r="O46" i="1"/>
  <c r="O114" i="1"/>
  <c r="O113" i="1"/>
  <c r="O112" i="1"/>
  <c r="O71" i="1"/>
  <c r="O70" i="1"/>
  <c r="O62" i="1"/>
  <c r="O61" i="1"/>
  <c r="O60" i="1"/>
  <c r="O59" i="1"/>
  <c r="O58" i="1"/>
  <c r="O49" i="1"/>
  <c r="N13" i="1"/>
  <c r="N6" i="1" l="1"/>
  <c r="N5" i="1"/>
  <c r="O93" i="1" l="1"/>
  <c r="O92" i="1"/>
  <c r="O91" i="1"/>
  <c r="O94" i="1"/>
  <c r="O95" i="1"/>
  <c r="O96" i="1"/>
  <c r="O97" i="1"/>
  <c r="N9" i="1"/>
  <c r="N8" i="1"/>
  <c r="N7" i="1"/>
  <c r="L2" i="1"/>
  <c r="O2" i="1" s="1"/>
  <c r="L3" i="1"/>
  <c r="O3" i="1" s="1"/>
  <c r="L4" i="1"/>
  <c r="O4" i="1" s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O35" i="1" s="1"/>
  <c r="L36" i="1"/>
  <c r="O36" i="1" s="1"/>
  <c r="O130" i="1" l="1"/>
  <c r="O74" i="1"/>
  <c r="O75" i="1"/>
  <c r="N20" i="1"/>
  <c r="N19" i="1"/>
  <c r="N18" i="1"/>
  <c r="N17" i="1"/>
  <c r="N16" i="1"/>
  <c r="N15" i="1"/>
  <c r="N14" i="1"/>
  <c r="O127" i="1"/>
  <c r="O126" i="1"/>
  <c r="O125" i="1"/>
  <c r="O124" i="1"/>
  <c r="O115" i="1"/>
  <c r="O116" i="1"/>
  <c r="O117" i="1"/>
  <c r="O118" i="1"/>
  <c r="O119" i="1"/>
  <c r="O102" i="1"/>
  <c r="O103" i="1"/>
  <c r="O104" i="1"/>
  <c r="O105" i="1"/>
  <c r="O106" i="1"/>
  <c r="O107" i="1"/>
  <c r="O108" i="1"/>
  <c r="O101" i="1"/>
  <c r="O85" i="1"/>
  <c r="O84" i="1"/>
  <c r="O82" i="1"/>
  <c r="O81" i="1"/>
  <c r="N30" i="1"/>
  <c r="N29" i="1"/>
  <c r="N27" i="1"/>
  <c r="N26" i="1"/>
  <c r="N25" i="1"/>
  <c r="N24" i="1"/>
  <c r="O10" i="1"/>
  <c r="O11" i="1"/>
  <c r="O12" i="1"/>
  <c r="O14" i="1" l="1"/>
  <c r="O20" i="1"/>
  <c r="O17" i="1"/>
  <c r="O18" i="1"/>
  <c r="O16" i="1"/>
  <c r="O15" i="1"/>
  <c r="O19" i="1"/>
  <c r="O6" i="1"/>
  <c r="O8" i="1"/>
  <c r="O9" i="1"/>
  <c r="O7" i="1"/>
  <c r="O83" i="1"/>
  <c r="O26" i="1" l="1"/>
  <c r="O51" i="1"/>
  <c r="O129" i="1"/>
  <c r="O90" i="1" l="1"/>
  <c r="O79" i="1"/>
  <c r="N31" i="1"/>
  <c r="O128" i="1" l="1"/>
  <c r="O123" i="1"/>
  <c r="O86" i="1"/>
  <c r="O80" i="1"/>
  <c r="O64" i="1"/>
  <c r="O72" i="1"/>
  <c r="O73" i="1"/>
  <c r="O63" i="1"/>
  <c r="O50" i="1"/>
  <c r="O52" i="1"/>
  <c r="O53" i="1"/>
  <c r="O27" i="1"/>
  <c r="N28" i="1"/>
  <c r="O21" i="1"/>
  <c r="O22" i="1"/>
  <c r="O23" i="1"/>
  <c r="O24" i="1"/>
  <c r="O25" i="1"/>
  <c r="O31" i="1"/>
  <c r="O32" i="1"/>
  <c r="O33" i="1"/>
  <c r="O34" i="1"/>
  <c r="O28" i="1" l="1"/>
  <c r="O30" i="1"/>
  <c r="O29" i="1"/>
  <c r="O13" i="1"/>
</calcChain>
</file>

<file path=xl/sharedStrings.xml><?xml version="1.0" encoding="utf-8"?>
<sst xmlns="http://schemas.openxmlformats.org/spreadsheetml/2006/main" count="847" uniqueCount="341">
  <si>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</si>
  <si>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</si>
  <si>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</si>
  <si>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</si>
  <si>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</si>
  <si>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</si>
  <si>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</si>
  <si>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</si>
  <si>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</si>
  <si>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</si>
  <si>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</si>
  <si>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</si>
  <si>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</si>
  <si>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PLATE</t>
  </si>
  <si>
    <t>plate1</t>
  </si>
  <si>
    <t>plate2</t>
  </si>
  <si>
    <t>plate3</t>
  </si>
  <si>
    <t>plate4</t>
  </si>
  <si>
    <t>number</t>
  </si>
  <si>
    <t>plate5</t>
  </si>
  <si>
    <t>plate6</t>
  </si>
  <si>
    <t>plate7</t>
  </si>
  <si>
    <t>plate8</t>
  </si>
  <si>
    <t>plate9</t>
  </si>
  <si>
    <t>plate10</t>
  </si>
  <si>
    <t>plate11</t>
  </si>
  <si>
    <t>plate12</t>
  </si>
  <si>
    <t>pNRT2.1:LUC</t>
  </si>
  <si>
    <t>seedling1</t>
  </si>
  <si>
    <t>seedling2</t>
  </si>
  <si>
    <t>seedling3</t>
  </si>
  <si>
    <t>seedling4</t>
  </si>
  <si>
    <t>seedling5</t>
  </si>
  <si>
    <t>seedling6</t>
  </si>
  <si>
    <t>seedling7</t>
  </si>
  <si>
    <t>seedling8</t>
  </si>
  <si>
    <t>seedling9</t>
  </si>
  <si>
    <t>seedling10</t>
  </si>
  <si>
    <t>seedling11</t>
  </si>
  <si>
    <t>seedling12</t>
  </si>
  <si>
    <t>seedling13</t>
  </si>
  <si>
    <t>seedling14</t>
  </si>
  <si>
    <t>seedling15</t>
  </si>
  <si>
    <t>seedling16</t>
  </si>
  <si>
    <t>seedling17</t>
  </si>
  <si>
    <t>seedling27</t>
  </si>
  <si>
    <t>seedling37</t>
  </si>
  <si>
    <t>seedling47</t>
  </si>
  <si>
    <t>seedling57</t>
  </si>
  <si>
    <t>seedling67</t>
  </si>
  <si>
    <t>seedling77</t>
  </si>
  <si>
    <t>seedling87</t>
  </si>
  <si>
    <t>seedling18</t>
  </si>
  <si>
    <t>seedling19</t>
  </si>
  <si>
    <t>seedling20</t>
  </si>
  <si>
    <t>seedling21</t>
  </si>
  <si>
    <t>seedling22</t>
  </si>
  <si>
    <t>seedling23</t>
  </si>
  <si>
    <t>seedling24</t>
  </si>
  <si>
    <t>seedling25</t>
  </si>
  <si>
    <t>seedling26</t>
  </si>
  <si>
    <t>seedling28</t>
  </si>
  <si>
    <t>seedling29</t>
  </si>
  <si>
    <t>seedling30</t>
  </si>
  <si>
    <t>seedling31</t>
  </si>
  <si>
    <t>seedling32</t>
  </si>
  <si>
    <t>seedling33</t>
  </si>
  <si>
    <t>seedling34</t>
  </si>
  <si>
    <t>seedling35</t>
  </si>
  <si>
    <t>seedling36</t>
  </si>
  <si>
    <t>seedling38</t>
  </si>
  <si>
    <t>seedling39</t>
  </si>
  <si>
    <t>seedling40</t>
  </si>
  <si>
    <t>seedling41</t>
  </si>
  <si>
    <t>seedling42</t>
  </si>
  <si>
    <t>seedling43</t>
  </si>
  <si>
    <t>seedling44</t>
  </si>
  <si>
    <t>seedling45</t>
  </si>
  <si>
    <t>seedling46</t>
  </si>
  <si>
    <t>seedling48</t>
  </si>
  <si>
    <t>seedling49</t>
  </si>
  <si>
    <t>seedling50</t>
  </si>
  <si>
    <t>seedling51</t>
  </si>
  <si>
    <t>seedling52</t>
  </si>
  <si>
    <t>seedling53</t>
  </si>
  <si>
    <t>seedling54</t>
  </si>
  <si>
    <t>seedling55</t>
  </si>
  <si>
    <t>seedling56</t>
  </si>
  <si>
    <t>seedling58</t>
  </si>
  <si>
    <t>seedling59</t>
  </si>
  <si>
    <t>seedling60</t>
  </si>
  <si>
    <t>seedling61</t>
  </si>
  <si>
    <t>seedling62</t>
  </si>
  <si>
    <t>seedling63</t>
  </si>
  <si>
    <t>seedling64</t>
  </si>
  <si>
    <t>seedling65</t>
  </si>
  <si>
    <t>seedling66</t>
  </si>
  <si>
    <t>seedling68</t>
  </si>
  <si>
    <t>seedling69</t>
  </si>
  <si>
    <t>seedling70</t>
  </si>
  <si>
    <t>seedling71</t>
  </si>
  <si>
    <t>seedling72</t>
  </si>
  <si>
    <t>seedling73</t>
  </si>
  <si>
    <t>seedling74</t>
  </si>
  <si>
    <t>seedling75</t>
  </si>
  <si>
    <t>seedling76</t>
  </si>
  <si>
    <t>seedling78</t>
  </si>
  <si>
    <t>seedling79</t>
  </si>
  <si>
    <t>seedling80</t>
  </si>
  <si>
    <t>seedling81</t>
  </si>
  <si>
    <t>seedling82</t>
  </si>
  <si>
    <t>seedling83</t>
  </si>
  <si>
    <t>seedling84</t>
  </si>
  <si>
    <t>seedling85</t>
  </si>
  <si>
    <t>seedling86</t>
  </si>
  <si>
    <t>seedling88</t>
  </si>
  <si>
    <t>seedling89</t>
  </si>
  <si>
    <t>seedling90</t>
  </si>
  <si>
    <t>seedling91</t>
  </si>
  <si>
    <t>seedling92</t>
  </si>
  <si>
    <t>seedling93</t>
  </si>
  <si>
    <t>seedling94</t>
  </si>
  <si>
    <t>seedling95</t>
  </si>
  <si>
    <t>seedling96</t>
  </si>
  <si>
    <t>background</t>
  </si>
  <si>
    <t>seedling97</t>
  </si>
  <si>
    <t>plate13</t>
  </si>
  <si>
    <t>seedling98</t>
  </si>
  <si>
    <t>seedling99</t>
  </si>
  <si>
    <t>seedling100</t>
  </si>
  <si>
    <t>seedling102</t>
  </si>
  <si>
    <t>seedling103</t>
  </si>
  <si>
    <t>seedling104</t>
  </si>
  <si>
    <t>seedling105</t>
  </si>
  <si>
    <t>plate14</t>
  </si>
  <si>
    <t>seedling107</t>
  </si>
  <si>
    <t>seedling108</t>
  </si>
  <si>
    <t>seedling109</t>
  </si>
  <si>
    <t>seedling110</t>
  </si>
  <si>
    <t>seedling111</t>
  </si>
  <si>
    <t>seedling112</t>
  </si>
  <si>
    <t>seedling113</t>
  </si>
  <si>
    <t>plate15</t>
  </si>
  <si>
    <t>seedling114</t>
  </si>
  <si>
    <t>seedling115</t>
  </si>
  <si>
    <t>seedling116</t>
  </si>
  <si>
    <t>seedling117</t>
  </si>
  <si>
    <t>seedling118</t>
  </si>
  <si>
    <t>seedling119</t>
  </si>
  <si>
    <t>seedling120</t>
  </si>
  <si>
    <t>seedling121</t>
  </si>
  <si>
    <t>plate16</t>
  </si>
  <si>
    <t>seedling122</t>
  </si>
  <si>
    <t>seedling123</t>
  </si>
  <si>
    <t>seedling124</t>
  </si>
  <si>
    <t>seedling125</t>
  </si>
  <si>
    <t>seedling126</t>
  </si>
  <si>
    <t>seedling127</t>
  </si>
  <si>
    <t>seedling128</t>
  </si>
  <si>
    <t>seedling101</t>
  </si>
  <si>
    <t>seedling106</t>
  </si>
  <si>
    <t>0.5mM-&gt;10mM</t>
  </si>
  <si>
    <t>0.5mM-&gt;0.5mM</t>
  </si>
  <si>
    <t>10mM-&gt;0.5mM</t>
  </si>
  <si>
    <t>10mM-&gt;10mM</t>
  </si>
  <si>
    <t>20230612_pNRT21_0.5mM_T0.1_N1_luc.tif:0137-0052</t>
  </si>
  <si>
    <t>20230612_pNRT21_0.5mM_T0.1_N1_luc.tif:0140-0099</t>
  </si>
  <si>
    <t>20230612_pNRT21_0.5mM_T0.1_N1_luc.tif:0143-0152</t>
  </si>
  <si>
    <t>20230612_pNRT21_0.5mM_T0.1_N1_luc.tif:0141-0206</t>
  </si>
  <si>
    <t>20230612_pNRT21_0.5mM_T0.1_N1_luc.tif:0141-0255</t>
  </si>
  <si>
    <t>20230612_pNRT21_0.5mM_T0.1_N1_luc.tif:0141-0307</t>
  </si>
  <si>
    <t>20230612_pNRT21_0.5mM_T0.1_N1_luc.tif:0127-0363</t>
  </si>
  <si>
    <t>20230612_pNRT21_0.5mM_T0.1_N1_luc.tif:0136-0408</t>
  </si>
  <si>
    <t>20230612_pNRT21_0.5mM_T0.1_N1_luc.tif:0364-0429</t>
  </si>
  <si>
    <t>20230612_pNRT21_0.5mM_T0.1_N1_luc.tif:0378-0334</t>
  </si>
  <si>
    <t>20230612_pNRT21_0.5mM_T0.1_N1_luc.tif:0361-0068</t>
  </si>
  <si>
    <t>20230612_pNRT21_0.5mM_T0.1_N2_luc.tif:0149-0056</t>
  </si>
  <si>
    <t>20230612_pNRT21_0.5mM_T0.1_N2_luc.tif:0133-0097</t>
  </si>
  <si>
    <t>20230612_pNRT21_0.5mM_T0.1_N2_luc.tif:0133-0142</t>
  </si>
  <si>
    <t>20230612_pNRT21_0.5mM_T0.1_N2_luc.tif:0137-0197</t>
  </si>
  <si>
    <t>20230612_pNRT21_0.5mM_T0.1_N2_luc.tif:0139-0251</t>
  </si>
  <si>
    <t>20230612_pNRT21_0.5mM_T0.1_N2_luc.tif:0152-0316</t>
  </si>
  <si>
    <t>20230612_pNRT21_0.5mM_T0.1_N2_luc.tif:0145-0359</t>
  </si>
  <si>
    <t>20230612_pNRT21_0.5mM_T0.1_N2_luc.tif:0139-0402</t>
  </si>
  <si>
    <t>20230612_pNRT21_0.5mM_T0.1_N2_luc.tif:0379-0410</t>
  </si>
  <si>
    <t>20230612_pNRT21_0.5mM_T0.1_N2_luc.tif:0382-0292</t>
  </si>
  <si>
    <t>20230612_pNRT21_0.5mM_T0.1_N2_luc.tif:0386-0093</t>
  </si>
  <si>
    <t>20230612_pNRT21_0.5mM_T0.1_N3_luc.tif:0150-0064</t>
  </si>
  <si>
    <t>20230612_pNRT21_0.5mM_T0.1_N3_luc.tif:0139-0102</t>
  </si>
  <si>
    <t>20230612_pNRT21_0.5mM_T0.1_N3_luc.tif:0136-0157</t>
  </si>
  <si>
    <t>20230612_pNRT21_0.5mM_T0.1_N3_luc.tif:0132-0207</t>
  </si>
  <si>
    <t>20230612_pNRT21_0.5mM_T0.1_N3_luc.tif:0123-0254</t>
  </si>
  <si>
    <t>20230612_pNRT21_0.5mM_T0.1_N3_luc.tif:0145-0307</t>
  </si>
  <si>
    <t>20230612_pNRT21_0.5mM_T0.1_N3_luc.tif:0114-0362</t>
  </si>
  <si>
    <t>20230612_pNRT21_0.5mM_T0.1_N3_luc.tif:0129-0405</t>
  </si>
  <si>
    <t>20230612_pNRT21_0.5mM_T0.1_N3_luc.tif:0375-0416</t>
  </si>
  <si>
    <t>20230612_pNRT21_0.5mM_T0.1_N3_luc.tif:0382-0229</t>
  </si>
  <si>
    <t>20230612_pNRT21_0.5mM_T0.1_N3_luc.tif:0384-0159</t>
  </si>
  <si>
    <t>20230612_pNRT21_0.5mM_T0.1_N4_luc.tif:0159-0057</t>
  </si>
  <si>
    <t>20230612_pNRT21_0.5mM_T0.1_N4_luc.tif:0156-0108</t>
  </si>
  <si>
    <t>20230612_pNRT21_0.5mM_T0.1_N4_luc.tif:0145-0157</t>
  </si>
  <si>
    <t>20230612_pNRT21_0.5mM_T0.1_N4_luc.tif:0155-0207</t>
  </si>
  <si>
    <t>20230612_pNRT21_0.5mM_T0.1_N4_luc.tif:0153-0269</t>
  </si>
  <si>
    <t>20230612_pNRT21_0.5mM_T0.1_N4_luc.tif:0145-0317</t>
  </si>
  <si>
    <t>20230612_pNRT21_0.5mM_T0.1_N4_luc.tif:0156-0369</t>
  </si>
  <si>
    <t>20230612_pNRT21_0.5mM_T0.1_N4_luc.tif:0171-0420</t>
  </si>
  <si>
    <t>20230612_pNRT21_0.5mM_T0.1_N4_luc.tif:0386-0427</t>
  </si>
  <si>
    <t>20230612_pNRT21_0.5mM_T0.1_N4_luc.tif:0381-0216</t>
  </si>
  <si>
    <t>20230612_pNRT21_0.5mM_T0.1_N4_luc.tif:0367-0066</t>
  </si>
  <si>
    <t>20230612_pNRT21_0.5mM_T0.1_N5_luc.tif:0149-0048</t>
  </si>
  <si>
    <t>20230612_pNRT21_0.5mM_T0.1_N5_luc.tif:0153-0090</t>
  </si>
  <si>
    <t>20230612_pNRT21_0.5mM_T0.1_N5_luc.tif:0133-0143</t>
  </si>
  <si>
    <t>20230612_pNRT21_0.5mM_T0.1_N5_luc.tif:0140-0190</t>
  </si>
  <si>
    <t>20230612_pNRT21_0.5mM_T0.1_N5_luc.tif:0143-0251</t>
  </si>
  <si>
    <t>20230612_pNRT21_0.5mM_T0.1_N5_luc.tif:0134-0302</t>
  </si>
  <si>
    <t>20230612_pNRT21_0.5mM_T0.1_N5_luc.tif:0145-0345</t>
  </si>
  <si>
    <t>20230612_pNRT21_0.5mM_T0.1_N5_luc.tif:0154-0391</t>
  </si>
  <si>
    <t>20230612_pNRT21_0.5mM_T0.1_N5_luc.tif:0361-0429</t>
  </si>
  <si>
    <t>20230612_pNRT21_0.5mM_T0.1_N5_luc.tif:0336-0276</t>
  </si>
  <si>
    <t>20230612_pNRT21_0.5mM_T0.1_N5_luc.tif:0347-0074</t>
  </si>
  <si>
    <t>20230612_pNRT21_0.5mM_T0.1_N6_luc.tif:0160-0054</t>
  </si>
  <si>
    <t>20230612_pNRT21_0.5mM_T0.1_N6_luc.tif:0152-0100</t>
  </si>
  <si>
    <t>20230612_pNRT21_0.5mM_T0.1_N6_luc.tif:0165-0143</t>
  </si>
  <si>
    <t>20230612_pNRT21_0.5mM_T0.1_N6_luc.tif:0158-0201</t>
  </si>
  <si>
    <t>20230612_pNRT21_0.5mM_T0.1_N6_luc.tif:0144-0250</t>
  </si>
  <si>
    <t>20230612_pNRT21_0.5mM_T0.1_N6_luc.tif:0130-0301</t>
  </si>
  <si>
    <t>20230612_pNRT21_0.5mM_T0.1_N6_luc.tif:0143-0351</t>
  </si>
  <si>
    <t>20230612_pNRT21_0.5mM_T0.1_N6_luc.tif:0144-0403</t>
  </si>
  <si>
    <t>20230612_pNRT21_0.5mM_T0.1_N6_luc.tif:0354-0405</t>
  </si>
  <si>
    <t>20230612_pNRT21_0.5mM_T0.1_N6_luc.tif:0373-0244</t>
  </si>
  <si>
    <t>20230612_pNRT21_0.5mM_T0.1_N6_luc.tif:0357-0135</t>
  </si>
  <si>
    <t>20230612_pNRT21_0.5mM_T0.1_N7_luc.tif:0132-0048</t>
  </si>
  <si>
    <t>20230612_pNRT21_0.5mM_T0.1_N7_luc.tif:0138-0102</t>
  </si>
  <si>
    <t>20230612_pNRT21_0.5mM_T0.1_N7_luc.tif:0139-0155</t>
  </si>
  <si>
    <t>20230612_pNRT21_0.5mM_T0.1_N7_luc.tif:0156-0202</t>
  </si>
  <si>
    <t>20230612_pNRT21_0.5mM_T0.1_N7_luc.tif:0162-0252</t>
  </si>
  <si>
    <t>20230612_pNRT21_0.5mM_T0.1_N7_luc.tif:0135-0308</t>
  </si>
  <si>
    <t>20230612_pNRT21_0.5mM_T0.1_N7_luc.tif:0131-0364</t>
  </si>
  <si>
    <t>20230612_pNRT21_0.5mM_T0.1_N7_luc.tif:0137-0416</t>
  </si>
  <si>
    <t>20230612_pNRT21_0.5mM_T0.1_N7_luc.tif:0385-0443</t>
  </si>
  <si>
    <t>20230612_pNRT21_0.5mM_T0.1_N7_luc.tif:0411-0299</t>
  </si>
  <si>
    <t>20230612_pNRT21_0.5mM_T0.1_N7_luc.tif:0385-0179</t>
  </si>
  <si>
    <t>20230612_pNRT21_0.5mM_T0.1_N8_luc.tif:0152-0060</t>
  </si>
  <si>
    <t>20230612_pNRT21_0.5mM_T0.1_N8_luc.tif:0177-0104</t>
  </si>
  <si>
    <t>20230612_pNRT21_0.5mM_T0.1_N8_luc.tif:0156-0151</t>
  </si>
  <si>
    <t>20230612_pNRT21_0.5mM_T0.1_N8_luc.tif:0151-0204</t>
  </si>
  <si>
    <t>20230612_pNRT21_0.5mM_T0.1_N8_luc.tif:0142-0257</t>
  </si>
  <si>
    <t>20230612_pNRT21_0.5mM_T0.1_N8_luc.tif:0148-0306</t>
  </si>
  <si>
    <t>20230612_pNRT21_0.5mM_T0.1_N8_luc.tif:0158-0360</t>
  </si>
  <si>
    <t>20230612_pNRT21_0.5mM_T0.1_N8_luc.tif:0167-0406</t>
  </si>
  <si>
    <t>20230612_pNRT21_0.5mM_T0.1_N8_luc.tif:0403-0390</t>
  </si>
  <si>
    <t>20230612_pNRT21_0.5mM_T0.1_N8_luc.tif:0403-0267</t>
  </si>
  <si>
    <t>20230612_pNRT21_0.5mM_T0.1_N8_luc.tif:0397-0154</t>
  </si>
  <si>
    <t>20230612_pNRT21_10mM_T0.1_N9_luc.tif:0174-0045</t>
  </si>
  <si>
    <t>20230612_pNRT21_10mM_T0.1_N9_luc.tif:0163-0096</t>
  </si>
  <si>
    <t>20230612_pNRT21_10mM_T0.1_N9_luc.tif:0145-0159</t>
  </si>
  <si>
    <t>20230612_pNRT21_10mM_T0.1_N9_luc.tif:0144-0192</t>
  </si>
  <si>
    <t>20230612_pNRT21_10mM_T0.1_N9_luc.tif:0138-0252</t>
  </si>
  <si>
    <t>20230612_pNRT21_10mM_T0.1_N9_luc.tif:0166-0308</t>
  </si>
  <si>
    <t>20230612_pNRT21_10mM_T0.1_N9_luc.tif:0135-0352</t>
  </si>
  <si>
    <t>20230612_pNRT21_10mM_T0.1_N9_luc.tif:0151-0402</t>
  </si>
  <si>
    <t>20230612_pNRT21_10mM_T0.1_N9_luc.tif:0374-0427</t>
  </si>
  <si>
    <t>20230612_pNRT21_10mM_T0.1_N9_luc.tif:0358-0293</t>
  </si>
  <si>
    <t>20230612_pNRT21_10mM_T0.1_N9_luc.tif:0380-0199</t>
  </si>
  <si>
    <t>20230612_pNRT21_10mM_T0.1_N10_luc.tif:0158-0067</t>
  </si>
  <si>
    <t>20230612_pNRT21_10mM_T0.1_N10_luc.tif:0172-0117</t>
  </si>
  <si>
    <t>20230612_pNRT21_10mM_T0.1_N10_luc.tif:0162-0168</t>
  </si>
  <si>
    <t>20230612_pNRT21_10mM_T0.1_N10_luc.tif:0164-0210</t>
  </si>
  <si>
    <t>20230612_pNRT21_10mM_T0.1_N10_luc.tif:0157-0280</t>
  </si>
  <si>
    <t>20230612_pNRT21_10mM_T0.1_N10_luc.tif:0162-0325</t>
  </si>
  <si>
    <t>20230612_pNRT21_10mM_T0.1_N10_luc.tif:0180-0372</t>
  </si>
  <si>
    <t>20230612_pNRT21_10mM_T0.1_N10_luc.tif:0166-0421</t>
  </si>
  <si>
    <t>20230612_pNRT21_10mM_T0.1_N10_luc.tif:0362-0436</t>
  </si>
  <si>
    <t>20230612_pNRT21_10mM_T0.1_N10_luc.tif:0387-0357</t>
  </si>
  <si>
    <t>20230612_pNRT21_10mM_T0.1_N10_luc.tif:0374-0259</t>
  </si>
  <si>
    <t>20230612_pNRT21_10mM_T0.1_N11_luc.tif:0160-0063</t>
  </si>
  <si>
    <t>20230612_pNRT21_10mM_T0.1_N11_luc.tif:0173-0103</t>
  </si>
  <si>
    <t>20230612_pNRT21_10mM_T0.1_N11_luc.tif:0162-0161</t>
  </si>
  <si>
    <t>20230612_pNRT21_10mM_T0.1_N11_luc.tif:0156-0210</t>
  </si>
  <si>
    <t>20230612_pNRT21_10mM_T0.1_N11_luc.tif:0155-0262</t>
  </si>
  <si>
    <t>20230612_pNRT21_10mM_T0.1_N11_luc.tif:0160-0309</t>
  </si>
  <si>
    <t>20230612_pNRT21_10mM_T0.1_N11_luc.tif:0158-0369</t>
  </si>
  <si>
    <t>20230612_pNRT21_10mM_T0.1_N11_luc.tif:0175-0410</t>
  </si>
  <si>
    <t>20230612_pNRT21_10mM_T0.1_N11_luc.tif:0374-0423</t>
  </si>
  <si>
    <t>20230612_pNRT21_10mM_T0.1_N11_luc.tif:0383-0279</t>
  </si>
  <si>
    <t>20230612_pNRT21_10mM_T0.1_N11_luc.tif:0386-0125</t>
  </si>
  <si>
    <t>20230612_pNRT21_10mM_T0.1_N12_luc.tif:0150-0060</t>
  </si>
  <si>
    <t>20230612_pNRT21_10mM_T0.1_N12_luc.tif:0154-0102</t>
  </si>
  <si>
    <t>20230612_pNRT21_10mM_T0.1_N12_luc.tif:0152-0161</t>
  </si>
  <si>
    <t>20230612_pNRT21_10mM_T0.1_N12_luc.tif:0140-0216</t>
  </si>
  <si>
    <t>20230612_pNRT21_10mM_T0.1_N12_luc.tif:0135-0267</t>
  </si>
  <si>
    <t>20230612_pNRT21_10mM_T0.1_N12_luc.tif:0154-0319</t>
  </si>
  <si>
    <t>20230612_pNRT21_10mM_T0.1_N12_luc.tif:0145-0357</t>
  </si>
  <si>
    <t>20230612_pNRT21_10mM_T0.1_N12_luc.tif:0146-0416</t>
  </si>
  <si>
    <t>20230612_pNRT21_10mM_T0.1_N12_luc.tif:0383-0442</t>
  </si>
  <si>
    <t>20230612_pNRT21_10mM_T0.1_N12_luc.tif:0378-0352</t>
  </si>
  <si>
    <t>20230612_pNRT21_10mM_T0.1_N12_luc.tif:0388-0241</t>
  </si>
  <si>
    <t>20230612_pNRT21_10mM_T0.1_N13_luc.tif:0168-0061</t>
  </si>
  <si>
    <t>20230612_pNRT21_10mM_T0.1_N13_luc.tif:0155-0102</t>
  </si>
  <si>
    <t>20230612_pNRT21_10mM_T0.1_N13_luc.tif:0163-0167</t>
  </si>
  <si>
    <t>20230612_pNRT21_10mM_T0.1_N13_luc.tif:0161-0209</t>
  </si>
  <si>
    <t>20230612_pNRT21_10mM_T0.1_N13_luc.tif:0179-0259</t>
  </si>
  <si>
    <t>20230612_pNRT21_10mM_T0.1_N13_luc.tif:0164-0316</t>
  </si>
  <si>
    <t>20230612_pNRT21_10mM_T0.1_N13_luc.tif:0165-0364</t>
  </si>
  <si>
    <t>20230612_pNRT21_10mM_T0.1_N13_luc.tif:0160-0412</t>
  </si>
  <si>
    <t>20230612_pNRT21_10mM_T0.1_N13_luc.tif:0373-0429</t>
  </si>
  <si>
    <t>20230612_pNRT21_10mM_T0.1_N13_luc.tif:0367-0288</t>
  </si>
  <si>
    <t>20230612_pNRT21_10mM_T0.1_N13_luc.tif:0372-0141</t>
  </si>
  <si>
    <t>20230612_pNRT21_10mM_T0.1_N14_luc.tif:0182-0065</t>
  </si>
  <si>
    <t>20230612_pNRT21_10mM_T0.1_N14_luc.tif:0169-0105</t>
  </si>
  <si>
    <t>20230612_pNRT21_10mM_T0.1_N14_luc.tif:0187-0155</t>
  </si>
  <si>
    <t>20230612_pNRT21_10mM_T0.1_N14_luc.tif:0175-0216</t>
  </si>
  <si>
    <t>20230612_pNRT21_10mM_T0.1_N14_luc.tif:0171-0257</t>
  </si>
  <si>
    <t>20230612_pNRT21_10mM_T0.1_N14_luc.tif:0175-0328</t>
  </si>
  <si>
    <t>20230612_pNRT21_10mM_T0.1_N14_luc.tif:0176-0369</t>
  </si>
  <si>
    <t>20230612_pNRT21_10mM_T0.1_N14_luc.tif:0169-0414</t>
  </si>
  <si>
    <t>20230612_pNRT21_10mM_T0.1_N14_luc.tif:0387-0434</t>
  </si>
  <si>
    <t>20230612_pNRT21_10mM_T0.1_N14_luc.tif:0391-0253</t>
  </si>
  <si>
    <t>20230612_pNRT21_10mM_T0.1_N14_luc.tif:0403-0138</t>
  </si>
  <si>
    <t>20230612_pNRT21_10mM_T0.1_N15_luc.tif:0150-0068</t>
  </si>
  <si>
    <t>20230612_pNRT21_10mM_T0.1_N15_luc.tif:0157-0112</t>
  </si>
  <si>
    <t>20230612_pNRT21_10mM_T0.1_N15_luc.tif:0154-0160</t>
  </si>
  <si>
    <t>20230612_pNRT21_10mM_T0.1_N15_luc.tif:0145-0223</t>
  </si>
  <si>
    <t>20230612_pNRT21_10mM_T0.1_N15_luc.tif:0154-0275</t>
  </si>
  <si>
    <t>20230612_pNRT21_10mM_T0.1_N15_luc.tif:0158-0312</t>
  </si>
  <si>
    <t>20230612_pNRT21_10mM_T0.1_N15_luc.tif:0150-0369</t>
  </si>
  <si>
    <t>20230612_pNRT21_10mM_T0.1_N15_luc.tif:0148-0430</t>
  </si>
  <si>
    <t>20230612_pNRT21_10mM_T0.1_N15_luc.tif:0338-0422</t>
  </si>
  <si>
    <t>20230612_pNRT21_10mM_T0.1_N15_luc.tif:0381-0308</t>
  </si>
  <si>
    <t>20230612_pNRT21_10mM_T0.1_N15_luc.tif:0361-0084</t>
  </si>
  <si>
    <t>20230612_pNRT21_10mM_T0.1_N16_luc.tif:0160-0060</t>
  </si>
  <si>
    <t>20230612_pNRT21_10mM_T0.1_N16_luc.tif:0166-0103</t>
  </si>
  <si>
    <t>20230612_pNRT21_10mM_T0.1_N16_luc.tif:0168-0154</t>
  </si>
  <si>
    <t>20230612_pNRT21_10mM_T0.1_N16_luc.tif:0152-0226</t>
  </si>
  <si>
    <t>20230612_pNRT21_10mM_T0.1_N16_luc.tif:0155-0265</t>
  </si>
  <si>
    <t>20230612_pNRT21_10mM_T0.1_N16_luc.tif:0145-0312</t>
  </si>
  <si>
    <t>20230612_pNRT21_10mM_T0.1_N16_luc.tif:0159-0360</t>
  </si>
  <si>
    <t>20230612_pNRT21_10mM_T0.1_N16_luc.tif:0155-0411</t>
  </si>
  <si>
    <t>20230612_pNRT21_10mM_T0.1_N16_luc.tif:0379-0387</t>
  </si>
  <si>
    <t>20230612_pNRT21_10mM_T0.1_N16_luc.tif:0398-0272</t>
  </si>
  <si>
    <t>20230612_pNRT21_10mM_T0.1_N16_luc.tif:0389-0141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</si>
</sst>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7"/>
  <sheetViews>
    <sheetView tabSelected="1" topLeftCell="A130" zoomScale="80" zoomScaleNormal="80" workbookViewId="0">
      <selection activeCell="N168" sqref="N168"/>
    </sheetView>
  </sheetViews>
  <sheetFormatPr baseColWidth="10" defaultColWidth="9.140625" defaultRowHeight="15" x14ac:dyDescent="0.25"/>
  <cols>
    <col min="2" max="2" width="51.85546875" customWidth="1"/>
    <col min="7" max="7" width="13.42578125" customWidth="1"/>
    <col min="8" max="8" width="11.85546875" customWidth="1"/>
    <col min="9" max="9" width="13.7109375" customWidth="1"/>
    <col min="10" max="10" width="20.42578125" customWidth="1"/>
    <col min="11" max="11" width="22" customWidth="1"/>
    <col min="12" max="12" width="14.28515625" customWidth="1"/>
    <col min="13" max="13" width="21.140625" customWidth="1"/>
    <col min="14" max="14" width="23.28515625" customWidth="1"/>
    <col min="15" max="15" width="27.140625" customWidth="1"/>
  </cols>
  <sheetData>
    <row r="1" spans="1:15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O1" s="1" t="s">
        <v>12</v>
      </c>
    </row>
    <row r="2" spans="1:15" x14ac:dyDescent="0.25">
      <c r="A2">
        <v>1</v>
      </c>
      <c r="B2" t="s">
        <v>165</v>
      </c>
      <c r="C2">
        <v>776</v>
      </c>
      <c r="D2">
        <v>278.70400000000001</v>
      </c>
      <c r="E2">
        <v>216274</v>
      </c>
      <c r="F2">
        <v>277</v>
      </c>
      <c r="G2">
        <v>216274</v>
      </c>
      <c r="H2">
        <v>95.927000000000007</v>
      </c>
      <c r="I2" t="s">
        <v>28</v>
      </c>
      <c r="J2" t="s">
        <v>27</v>
      </c>
      <c r="K2" t="s">
        <v>161</v>
      </c>
      <c r="L2">
        <f t="shared" ref="L2:L65" si="0">H2/4.95</f>
        <v>19.379191919191921</v>
      </c>
      <c r="M2" t="s">
        <v>14</v>
      </c>
      <c r="N2">
        <f>G2-(((G$10/C$10*C2)+(G$11/C$11*C2)+(G$12/C$12*C2))/3)</f>
        <v>2207.7693330927577</v>
      </c>
      <c r="O2">
        <f t="shared" ref="O2" si="1">N2/L2</f>
        <v>113.92473650598006</v>
      </c>
    </row>
    <row r="3" spans="1:15" x14ac:dyDescent="0.25">
      <c r="A3">
        <v>2</v>
      </c>
      <c r="B3" t="s">
        <v>166</v>
      </c>
      <c r="C3">
        <v>854</v>
      </c>
      <c r="D3">
        <v>294.16699999999997</v>
      </c>
      <c r="E3">
        <v>251219</v>
      </c>
      <c r="F3">
        <v>283</v>
      </c>
      <c r="G3">
        <v>251219</v>
      </c>
      <c r="H3">
        <v>105.86799999999999</v>
      </c>
      <c r="I3" t="s">
        <v>29</v>
      </c>
      <c r="J3" t="s">
        <v>27</v>
      </c>
      <c r="K3" t="s">
        <v>161</v>
      </c>
      <c r="L3">
        <f t="shared" si="0"/>
        <v>21.387474747474744</v>
      </c>
      <c r="M3" t="s">
        <v>14</v>
      </c>
      <c r="N3">
        <f>G3-(((G$10/C$10*C3)+(G$11/C$11*C3)+(G$12/C$12*C3))/3)</f>
        <v>15635.802848532534</v>
      </c>
      <c r="O3">
        <f>N3/L3</f>
        <v>731.07288415986</v>
      </c>
    </row>
    <row r="4" spans="1:15" x14ac:dyDescent="0.25">
      <c r="A4">
        <v>3</v>
      </c>
      <c r="B4" t="s">
        <v>167</v>
      </c>
      <c r="C4">
        <v>1005</v>
      </c>
      <c r="D4">
        <v>300.20600000000002</v>
      </c>
      <c r="E4">
        <v>301707</v>
      </c>
      <c r="F4">
        <v>287</v>
      </c>
      <c r="G4">
        <v>301707</v>
      </c>
      <c r="H4">
        <v>125.006</v>
      </c>
      <c r="I4" t="s">
        <v>30</v>
      </c>
      <c r="J4" t="s">
        <v>27</v>
      </c>
      <c r="K4" t="s">
        <v>161</v>
      </c>
      <c r="L4">
        <f t="shared" si="0"/>
        <v>25.253737373737373</v>
      </c>
      <c r="M4" t="s">
        <v>14</v>
      </c>
      <c r="N4">
        <f>G4-(((G$10/C$10*C4)+(G$11/C$11*C4)+(G$12/C$12*C4))/3)</f>
        <v>24469.16260278126</v>
      </c>
      <c r="O4">
        <f>N4/L4</f>
        <v>968.93233031828265</v>
      </c>
    </row>
    <row r="5" spans="1:15" x14ac:dyDescent="0.25">
      <c r="A5">
        <v>4</v>
      </c>
      <c r="B5" t="s">
        <v>168</v>
      </c>
      <c r="C5">
        <v>977</v>
      </c>
      <c r="D5">
        <v>309.93</v>
      </c>
      <c r="E5">
        <v>302802</v>
      </c>
      <c r="F5">
        <v>294</v>
      </c>
      <c r="G5">
        <v>302802</v>
      </c>
      <c r="H5">
        <v>121.654</v>
      </c>
      <c r="I5" t="s">
        <v>31</v>
      </c>
      <c r="J5" t="s">
        <v>27</v>
      </c>
      <c r="K5" t="s">
        <v>161</v>
      </c>
      <c r="L5">
        <f t="shared" si="0"/>
        <v>24.576565656565656</v>
      </c>
      <c r="M5" t="s">
        <v>14</v>
      </c>
      <c r="N5">
        <f>G5-(((G$10/C$10*C5)+(G$11/C$11*C5)+(G$12/C$12*C5))/3)</f>
        <v>33288.201853648992</v>
      </c>
      <c r="O5">
        <f>N5/L5</f>
        <v>1354.4692256363335</v>
      </c>
    </row>
    <row r="6" spans="1:15" x14ac:dyDescent="0.25">
      <c r="A6">
        <v>5</v>
      </c>
      <c r="B6" t="s">
        <v>169</v>
      </c>
      <c r="C6">
        <v>970</v>
      </c>
      <c r="D6">
        <v>324.14400000000001</v>
      </c>
      <c r="E6">
        <v>314420</v>
      </c>
      <c r="F6">
        <v>308</v>
      </c>
      <c r="G6">
        <v>314420</v>
      </c>
      <c r="H6">
        <v>120.419</v>
      </c>
      <c r="I6" t="s">
        <v>32</v>
      </c>
      <c r="J6" t="s">
        <v>27</v>
      </c>
      <c r="K6" t="s">
        <v>161</v>
      </c>
      <c r="L6">
        <f t="shared" si="0"/>
        <v>24.327070707070707</v>
      </c>
      <c r="M6" t="s">
        <v>14</v>
      </c>
      <c r="N6">
        <f>G6-(((G$10/C$10*C6)+(G$11/C$11*C6)+(G$12/C$12*C6))/3)</f>
        <v>46837.211666365969</v>
      </c>
      <c r="O6">
        <f t="shared" ref="O6:O12" si="2">N6/L6</f>
        <v>1925.3124319958772</v>
      </c>
    </row>
    <row r="7" spans="1:15" x14ac:dyDescent="0.25">
      <c r="A7">
        <v>6</v>
      </c>
      <c r="B7" t="s">
        <v>170</v>
      </c>
      <c r="C7">
        <v>962</v>
      </c>
      <c r="D7">
        <v>314.80099999999999</v>
      </c>
      <c r="E7">
        <v>302839</v>
      </c>
      <c r="F7">
        <v>294</v>
      </c>
      <c r="G7">
        <v>302839</v>
      </c>
      <c r="H7">
        <v>119.279</v>
      </c>
      <c r="I7" t="s">
        <v>33</v>
      </c>
      <c r="J7" t="s">
        <v>27</v>
      </c>
      <c r="K7" t="s">
        <v>161</v>
      </c>
      <c r="L7">
        <f t="shared" si="0"/>
        <v>24.096767676767676</v>
      </c>
      <c r="M7" t="s">
        <v>14</v>
      </c>
      <c r="N7">
        <f t="shared" ref="N7:N9" si="3">G7-(((G$10/C$10*C7)+(G$11/C$11*C7)+(G$12/C$12*C7))/3)</f>
        <v>37463.080023756775</v>
      </c>
      <c r="O7">
        <f t="shared" si="2"/>
        <v>1554.6931657508533</v>
      </c>
    </row>
    <row r="8" spans="1:15" x14ac:dyDescent="0.25">
      <c r="A8">
        <v>7</v>
      </c>
      <c r="B8" t="s">
        <v>171</v>
      </c>
      <c r="C8">
        <v>838</v>
      </c>
      <c r="D8">
        <v>293.87099999999998</v>
      </c>
      <c r="E8">
        <v>246264</v>
      </c>
      <c r="F8">
        <v>284</v>
      </c>
      <c r="G8">
        <v>246264</v>
      </c>
      <c r="H8">
        <v>104.054</v>
      </c>
      <c r="I8" t="s">
        <v>34</v>
      </c>
      <c r="J8" t="s">
        <v>27</v>
      </c>
      <c r="K8" t="s">
        <v>161</v>
      </c>
      <c r="L8">
        <f t="shared" si="0"/>
        <v>21.021010101010102</v>
      </c>
      <c r="M8" t="s">
        <v>14</v>
      </c>
      <c r="N8">
        <f t="shared" si="3"/>
        <v>15094.539563314087</v>
      </c>
      <c r="O8">
        <f t="shared" si="2"/>
        <v>718.0691836777512</v>
      </c>
    </row>
    <row r="9" spans="1:15" x14ac:dyDescent="0.25">
      <c r="A9">
        <v>8</v>
      </c>
      <c r="B9" t="s">
        <v>172</v>
      </c>
      <c r="C9">
        <v>982</v>
      </c>
      <c r="D9">
        <v>304.03100000000001</v>
      </c>
      <c r="E9">
        <v>298558</v>
      </c>
      <c r="F9">
        <v>291</v>
      </c>
      <c r="G9">
        <v>298558</v>
      </c>
      <c r="H9">
        <v>121.881</v>
      </c>
      <c r="I9" t="s">
        <v>35</v>
      </c>
      <c r="J9" t="s">
        <v>27</v>
      </c>
      <c r="K9" t="s">
        <v>161</v>
      </c>
      <c r="L9">
        <f t="shared" si="0"/>
        <v>24.622424242424241</v>
      </c>
      <c r="M9" t="s">
        <v>14</v>
      </c>
      <c r="N9">
        <f t="shared" si="3"/>
        <v>27664.909130279731</v>
      </c>
      <c r="O9">
        <f t="shared" si="2"/>
        <v>1123.5656106766819</v>
      </c>
    </row>
    <row r="10" spans="1:15" x14ac:dyDescent="0.25">
      <c r="A10">
        <v>9</v>
      </c>
      <c r="B10" t="s">
        <v>173</v>
      </c>
      <c r="C10">
        <v>1090</v>
      </c>
      <c r="D10">
        <v>276.072</v>
      </c>
      <c r="E10">
        <v>300919</v>
      </c>
      <c r="F10">
        <v>276</v>
      </c>
      <c r="G10">
        <v>300919</v>
      </c>
      <c r="H10">
        <v>135.197</v>
      </c>
      <c r="I10" t="s">
        <v>124</v>
      </c>
      <c r="K10" t="s">
        <v>161</v>
      </c>
      <c r="L10">
        <f t="shared" si="0"/>
        <v>27.312525252525251</v>
      </c>
      <c r="M10" t="s">
        <v>14</v>
      </c>
      <c r="O10">
        <f>N10/L10</f>
        <v>0</v>
      </c>
    </row>
    <row r="11" spans="1:15" x14ac:dyDescent="0.25">
      <c r="A11">
        <v>10</v>
      </c>
      <c r="B11" t="s">
        <v>174</v>
      </c>
      <c r="C11">
        <v>1250</v>
      </c>
      <c r="D11">
        <v>275.97399999999999</v>
      </c>
      <c r="E11">
        <v>344968</v>
      </c>
      <c r="F11">
        <v>276</v>
      </c>
      <c r="G11">
        <v>344968</v>
      </c>
      <c r="H11">
        <v>154.69</v>
      </c>
      <c r="I11" t="s">
        <v>124</v>
      </c>
      <c r="K11" t="s">
        <v>161</v>
      </c>
      <c r="L11">
        <f t="shared" si="0"/>
        <v>31.250505050505048</v>
      </c>
      <c r="M11" t="s">
        <v>14</v>
      </c>
      <c r="O11">
        <f t="shared" si="2"/>
        <v>0</v>
      </c>
    </row>
    <row r="12" spans="1:15" x14ac:dyDescent="0.25">
      <c r="A12">
        <v>11</v>
      </c>
      <c r="B12" t="s">
        <v>175</v>
      </c>
      <c r="C12">
        <v>1078</v>
      </c>
      <c r="D12">
        <v>275.529</v>
      </c>
      <c r="E12">
        <v>297020</v>
      </c>
      <c r="F12">
        <v>276</v>
      </c>
      <c r="G12">
        <v>297020</v>
      </c>
      <c r="H12">
        <v>134.036</v>
      </c>
      <c r="I12" t="s">
        <v>124</v>
      </c>
      <c r="K12" t="s">
        <v>161</v>
      </c>
      <c r="L12">
        <f t="shared" si="0"/>
        <v>27.077979797979797</v>
      </c>
      <c r="M12" t="s">
        <v>14</v>
      </c>
      <c r="O12">
        <f t="shared" si="2"/>
        <v>0</v>
      </c>
    </row>
    <row r="13" spans="1:15" x14ac:dyDescent="0.25">
      <c r="A13">
        <v>1</v>
      </c>
      <c r="B13" t="s">
        <v>176</v>
      </c>
      <c r="C13">
        <v>937</v>
      </c>
      <c r="D13">
        <v>296.62799999999999</v>
      </c>
      <c r="E13">
        <v>277940</v>
      </c>
      <c r="F13">
        <v>281</v>
      </c>
      <c r="G13">
        <v>277940</v>
      </c>
      <c r="H13">
        <v>116.70099999999999</v>
      </c>
      <c r="I13" t="s">
        <v>36</v>
      </c>
      <c r="J13" t="s">
        <v>27</v>
      </c>
      <c r="K13" t="s">
        <v>161</v>
      </c>
      <c r="L13">
        <f t="shared" si="0"/>
        <v>23.575959595959592</v>
      </c>
      <c r="M13" t="s">
        <v>15</v>
      </c>
      <c r="N13">
        <f t="shared" ref="N13:N20" si="4">G13-(((G$21/C$21*C13)+(G$22/C$22*C13)+(G$23/C$23*C13))/3)</f>
        <v>17241.147671483021</v>
      </c>
      <c r="O13">
        <f t="shared" ref="O13:O76" si="5">N13/L13</f>
        <v>731.30205374282116</v>
      </c>
    </row>
    <row r="14" spans="1:15" x14ac:dyDescent="0.25">
      <c r="A14">
        <v>2</v>
      </c>
      <c r="B14" t="s">
        <v>177</v>
      </c>
      <c r="C14">
        <v>787</v>
      </c>
      <c r="D14">
        <v>296.00299999999999</v>
      </c>
      <c r="E14">
        <v>232954</v>
      </c>
      <c r="F14">
        <v>288</v>
      </c>
      <c r="G14">
        <v>232954</v>
      </c>
      <c r="H14">
        <v>97.289000000000001</v>
      </c>
      <c r="I14" t="s">
        <v>37</v>
      </c>
      <c r="J14" t="s">
        <v>27</v>
      </c>
      <c r="K14" t="s">
        <v>161</v>
      </c>
      <c r="L14">
        <f t="shared" si="0"/>
        <v>19.654343434343435</v>
      </c>
      <c r="M14" t="s">
        <v>15</v>
      </c>
      <c r="N14">
        <f t="shared" si="4"/>
        <v>13989.222217136761</v>
      </c>
      <c r="O14">
        <f t="shared" ref="O14:O20" si="6">N14/L14</f>
        <v>711.76237781071825</v>
      </c>
    </row>
    <row r="15" spans="1:15" x14ac:dyDescent="0.25">
      <c r="A15">
        <v>3</v>
      </c>
      <c r="B15" t="s">
        <v>178</v>
      </c>
      <c r="C15">
        <v>860</v>
      </c>
      <c r="D15">
        <v>299.47300000000001</v>
      </c>
      <c r="E15">
        <v>257547</v>
      </c>
      <c r="F15">
        <v>290</v>
      </c>
      <c r="G15">
        <v>257547</v>
      </c>
      <c r="H15">
        <v>106.61499999999999</v>
      </c>
      <c r="I15" t="s">
        <v>38</v>
      </c>
      <c r="J15" t="s">
        <v>27</v>
      </c>
      <c r="K15" t="s">
        <v>161</v>
      </c>
      <c r="L15">
        <f t="shared" si="0"/>
        <v>21.538383838383837</v>
      </c>
      <c r="M15" t="s">
        <v>15</v>
      </c>
      <c r="N15">
        <f t="shared" si="4"/>
        <v>18271.639271585271</v>
      </c>
      <c r="O15">
        <f t="shared" si="6"/>
        <v>848.32916938842652</v>
      </c>
    </row>
    <row r="16" spans="1:15" x14ac:dyDescent="0.25">
      <c r="A16">
        <v>4</v>
      </c>
      <c r="B16" t="s">
        <v>179</v>
      </c>
      <c r="C16">
        <v>922</v>
      </c>
      <c r="D16">
        <v>315.84100000000001</v>
      </c>
      <c r="E16">
        <v>291205</v>
      </c>
      <c r="F16">
        <v>301</v>
      </c>
      <c r="G16">
        <v>291205</v>
      </c>
      <c r="H16">
        <v>114.06699999999999</v>
      </c>
      <c r="I16" t="s">
        <v>39</v>
      </c>
      <c r="J16" t="s">
        <v>27</v>
      </c>
      <c r="K16" t="s">
        <v>161</v>
      </c>
      <c r="L16">
        <f t="shared" si="0"/>
        <v>23.043838383838381</v>
      </c>
      <c r="M16" t="s">
        <v>15</v>
      </c>
      <c r="N16">
        <f t="shared" si="4"/>
        <v>34679.555126048392</v>
      </c>
      <c r="O16">
        <f t="shared" si="6"/>
        <v>1504.9383070821495</v>
      </c>
    </row>
    <row r="17" spans="1:15" x14ac:dyDescent="0.25">
      <c r="A17">
        <v>5</v>
      </c>
      <c r="B17" t="s">
        <v>180</v>
      </c>
      <c r="C17">
        <v>870</v>
      </c>
      <c r="D17">
        <v>303.17</v>
      </c>
      <c r="E17">
        <v>263758</v>
      </c>
      <c r="F17">
        <v>294</v>
      </c>
      <c r="G17">
        <v>263758</v>
      </c>
      <c r="H17">
        <v>108.015</v>
      </c>
      <c r="I17" t="s">
        <v>40</v>
      </c>
      <c r="J17" t="s">
        <v>27</v>
      </c>
      <c r="K17" t="s">
        <v>161</v>
      </c>
      <c r="L17">
        <f t="shared" si="0"/>
        <v>21.82121212121212</v>
      </c>
      <c r="M17" t="s">
        <v>15</v>
      </c>
      <c r="N17">
        <f t="shared" si="4"/>
        <v>21700.367635208386</v>
      </c>
      <c r="O17">
        <f t="shared" si="6"/>
        <v>994.46206354933588</v>
      </c>
    </row>
    <row r="18" spans="1:15" x14ac:dyDescent="0.25">
      <c r="A18">
        <v>6</v>
      </c>
      <c r="B18" t="s">
        <v>181</v>
      </c>
      <c r="C18">
        <v>1216</v>
      </c>
      <c r="D18">
        <v>355.84300000000002</v>
      </c>
      <c r="E18">
        <v>432705</v>
      </c>
      <c r="F18">
        <v>326</v>
      </c>
      <c r="G18">
        <v>432705</v>
      </c>
      <c r="H18">
        <v>150.965</v>
      </c>
      <c r="I18" t="s">
        <v>41</v>
      </c>
      <c r="J18" t="s">
        <v>27</v>
      </c>
      <c r="K18" t="s">
        <v>161</v>
      </c>
      <c r="L18">
        <f t="shared" si="0"/>
        <v>30.497979797979799</v>
      </c>
      <c r="M18" t="s">
        <v>15</v>
      </c>
      <c r="N18">
        <f t="shared" si="4"/>
        <v>94380.769016567094</v>
      </c>
      <c r="O18">
        <f t="shared" si="6"/>
        <v>3094.6564212367575</v>
      </c>
    </row>
    <row r="19" spans="1:15" x14ac:dyDescent="0.25">
      <c r="A19">
        <v>7</v>
      </c>
      <c r="B19" t="s">
        <v>182</v>
      </c>
      <c r="C19">
        <v>1043</v>
      </c>
      <c r="D19">
        <v>317.97699999999998</v>
      </c>
      <c r="E19">
        <v>331650</v>
      </c>
      <c r="F19">
        <v>303</v>
      </c>
      <c r="G19">
        <v>331650</v>
      </c>
      <c r="H19">
        <v>129.45400000000001</v>
      </c>
      <c r="I19" t="s">
        <v>42</v>
      </c>
      <c r="J19" t="s">
        <v>27</v>
      </c>
      <c r="K19" t="s">
        <v>161</v>
      </c>
      <c r="L19">
        <f t="shared" si="0"/>
        <v>26.152323232323234</v>
      </c>
      <c r="M19" t="s">
        <v>15</v>
      </c>
      <c r="N19">
        <f t="shared" si="4"/>
        <v>41459.068325887725</v>
      </c>
      <c r="O19">
        <f t="shared" si="6"/>
        <v>1585.2919818093239</v>
      </c>
    </row>
    <row r="20" spans="1:15" x14ac:dyDescent="0.25">
      <c r="A20">
        <v>8</v>
      </c>
      <c r="B20" t="s">
        <v>183</v>
      </c>
      <c r="C20">
        <v>990</v>
      </c>
      <c r="D20">
        <v>307.29599999999999</v>
      </c>
      <c r="E20">
        <v>304223</v>
      </c>
      <c r="F20">
        <v>293</v>
      </c>
      <c r="G20">
        <v>304223</v>
      </c>
      <c r="H20">
        <v>122.63</v>
      </c>
      <c r="I20" t="s">
        <v>43</v>
      </c>
      <c r="J20" t="s">
        <v>27</v>
      </c>
      <c r="K20" t="s">
        <v>161</v>
      </c>
      <c r="L20">
        <f t="shared" si="0"/>
        <v>24.773737373737372</v>
      </c>
      <c r="M20" t="s">
        <v>15</v>
      </c>
      <c r="N20">
        <f t="shared" si="4"/>
        <v>28778.107998685387</v>
      </c>
      <c r="O20">
        <f t="shared" si="6"/>
        <v>1161.6377280721902</v>
      </c>
    </row>
    <row r="21" spans="1:15" x14ac:dyDescent="0.25">
      <c r="A21">
        <v>9</v>
      </c>
      <c r="B21" t="s">
        <v>184</v>
      </c>
      <c r="C21">
        <v>1222</v>
      </c>
      <c r="D21">
        <v>278.49400000000003</v>
      </c>
      <c r="E21">
        <v>340320</v>
      </c>
      <c r="F21">
        <v>279</v>
      </c>
      <c r="G21">
        <v>340320</v>
      </c>
      <c r="H21">
        <v>151.39500000000001</v>
      </c>
      <c r="I21" t="s">
        <v>124</v>
      </c>
      <c r="K21" t="s">
        <v>161</v>
      </c>
      <c r="L21">
        <f>H21/4.95</f>
        <v>30.584848484848486</v>
      </c>
      <c r="M21" t="s">
        <v>15</v>
      </c>
      <c r="O21">
        <f t="shared" si="5"/>
        <v>0</v>
      </c>
    </row>
    <row r="22" spans="1:15" x14ac:dyDescent="0.25">
      <c r="A22">
        <v>10</v>
      </c>
      <c r="B22" t="s">
        <v>185</v>
      </c>
      <c r="C22">
        <v>1176</v>
      </c>
      <c r="D22">
        <v>278.17899999999997</v>
      </c>
      <c r="E22">
        <v>327138</v>
      </c>
      <c r="F22">
        <v>278</v>
      </c>
      <c r="G22">
        <v>327138</v>
      </c>
      <c r="H22">
        <v>145.876</v>
      </c>
      <c r="I22" t="s">
        <v>124</v>
      </c>
      <c r="K22" t="s">
        <v>161</v>
      </c>
      <c r="L22">
        <f t="shared" si="0"/>
        <v>29.46989898989899</v>
      </c>
      <c r="M22" t="s">
        <v>15</v>
      </c>
      <c r="O22">
        <f t="shared" si="5"/>
        <v>0</v>
      </c>
    </row>
    <row r="23" spans="1:15" x14ac:dyDescent="0.25">
      <c r="A23">
        <v>11</v>
      </c>
      <c r="B23" t="s">
        <v>186</v>
      </c>
      <c r="C23">
        <v>1272</v>
      </c>
      <c r="D23">
        <v>278.00900000000001</v>
      </c>
      <c r="E23">
        <v>353627</v>
      </c>
      <c r="F23">
        <v>278</v>
      </c>
      <c r="G23">
        <v>353627</v>
      </c>
      <c r="H23">
        <v>157.762</v>
      </c>
      <c r="I23" t="s">
        <v>124</v>
      </c>
      <c r="K23" t="s">
        <v>161</v>
      </c>
      <c r="L23">
        <f t="shared" si="0"/>
        <v>31.871111111111109</v>
      </c>
      <c r="M23" t="s">
        <v>15</v>
      </c>
      <c r="O23">
        <f t="shared" si="5"/>
        <v>0</v>
      </c>
    </row>
    <row r="24" spans="1:15" x14ac:dyDescent="0.25">
      <c r="A24">
        <v>1</v>
      </c>
      <c r="B24" t="s">
        <v>187</v>
      </c>
      <c r="C24">
        <v>1001</v>
      </c>
      <c r="D24">
        <v>337.834</v>
      </c>
      <c r="E24">
        <v>338172</v>
      </c>
      <c r="F24">
        <v>311</v>
      </c>
      <c r="G24">
        <v>338172</v>
      </c>
      <c r="H24">
        <v>124.235</v>
      </c>
      <c r="I24" t="s">
        <v>44</v>
      </c>
      <c r="J24" t="s">
        <v>27</v>
      </c>
      <c r="K24" t="s">
        <v>161</v>
      </c>
      <c r="L24">
        <f t="shared" si="0"/>
        <v>25.097979797979797</v>
      </c>
      <c r="M24" t="s">
        <v>16</v>
      </c>
      <c r="N24">
        <f>G24-(((G$32/C$32*C24)+(G$33/C$33*C24)+(G$34/C$34*C24))/3)</f>
        <v>58465.034780538874</v>
      </c>
      <c r="O24">
        <f>N24/L24</f>
        <v>2329.4717443849754</v>
      </c>
    </row>
    <row r="25" spans="1:15" x14ac:dyDescent="0.25">
      <c r="A25">
        <v>2</v>
      </c>
      <c r="B25" t="s">
        <v>188</v>
      </c>
      <c r="C25">
        <v>923</v>
      </c>
      <c r="D25">
        <v>303.79700000000003</v>
      </c>
      <c r="E25">
        <v>280405</v>
      </c>
      <c r="F25">
        <v>292</v>
      </c>
      <c r="G25">
        <v>280405</v>
      </c>
      <c r="H25">
        <v>114.884</v>
      </c>
      <c r="I25" t="s">
        <v>52</v>
      </c>
      <c r="J25" t="s">
        <v>27</v>
      </c>
      <c r="K25" t="s">
        <v>161</v>
      </c>
      <c r="L25">
        <f t="shared" si="0"/>
        <v>23.20888888888889</v>
      </c>
      <c r="M25" t="s">
        <v>16</v>
      </c>
      <c r="N25">
        <f>G25-(((G$32/C$32*C25)+(G$33/C$33*C25)+(G$34/C$34*C25))/3)</f>
        <v>22493.382719717687</v>
      </c>
      <c r="O25">
        <f>N25/L25</f>
        <v>969.17102871246254</v>
      </c>
    </row>
    <row r="26" spans="1:15" x14ac:dyDescent="0.25">
      <c r="A26">
        <v>3</v>
      </c>
      <c r="B26" t="s">
        <v>189</v>
      </c>
      <c r="C26">
        <v>943</v>
      </c>
      <c r="D26">
        <v>337.97</v>
      </c>
      <c r="E26">
        <v>318706</v>
      </c>
      <c r="F26">
        <v>316</v>
      </c>
      <c r="G26">
        <v>318706</v>
      </c>
      <c r="H26">
        <v>116.696</v>
      </c>
      <c r="I26" t="s">
        <v>53</v>
      </c>
      <c r="J26" t="s">
        <v>27</v>
      </c>
      <c r="K26" t="s">
        <v>161</v>
      </c>
      <c r="L26">
        <f>H26/4.95</f>
        <v>23.574949494949493</v>
      </c>
      <c r="M26" t="s">
        <v>16</v>
      </c>
      <c r="N26">
        <f>G26-(((G$32/C$32*C26)+(G$33/C$33*C26)+(G$34/C$34*C26))/3)</f>
        <v>55205.831966082042</v>
      </c>
      <c r="O26">
        <f>N26/L26</f>
        <v>2341.7158105856765</v>
      </c>
    </row>
    <row r="27" spans="1:15" x14ac:dyDescent="0.25">
      <c r="A27">
        <v>4</v>
      </c>
      <c r="B27" t="s">
        <v>190</v>
      </c>
      <c r="C27">
        <v>949</v>
      </c>
      <c r="D27">
        <v>335.00900000000001</v>
      </c>
      <c r="E27">
        <v>317924</v>
      </c>
      <c r="F27">
        <v>313</v>
      </c>
      <c r="G27">
        <v>317924</v>
      </c>
      <c r="H27">
        <v>117.55500000000001</v>
      </c>
      <c r="I27" t="s">
        <v>54</v>
      </c>
      <c r="J27" t="s">
        <v>27</v>
      </c>
      <c r="K27" t="s">
        <v>161</v>
      </c>
      <c r="L27">
        <f>H27/4.95</f>
        <v>23.74848484848485</v>
      </c>
      <c r="M27" t="s">
        <v>16</v>
      </c>
      <c r="N27">
        <f>G27-(((G$32/C$32*C27)+(G$33/C$33*C27)+(G$34/C$34*C27))/3)</f>
        <v>52747.266739991377</v>
      </c>
      <c r="O27">
        <f>N27/L27</f>
        <v>2221.0792425924656</v>
      </c>
    </row>
    <row r="28" spans="1:15" x14ac:dyDescent="0.25">
      <c r="A28">
        <v>5</v>
      </c>
      <c r="B28" t="s">
        <v>191</v>
      </c>
      <c r="C28">
        <v>865</v>
      </c>
      <c r="D28">
        <v>301.62200000000001</v>
      </c>
      <c r="E28">
        <v>260903</v>
      </c>
      <c r="F28">
        <v>293</v>
      </c>
      <c r="G28">
        <v>260903</v>
      </c>
      <c r="H28">
        <v>107.283</v>
      </c>
      <c r="I28" t="s">
        <v>55</v>
      </c>
      <c r="J28" t="s">
        <v>27</v>
      </c>
      <c r="K28" t="s">
        <v>161</v>
      </c>
      <c r="L28">
        <f t="shared" si="0"/>
        <v>21.673333333333332</v>
      </c>
      <c r="M28" t="s">
        <v>16</v>
      </c>
      <c r="N28">
        <f t="shared" ref="N28" si="7">G28-(((G$32/C$32*C28)+(G$33/C$33*C28)+(G$34/C$34*C28))/3)</f>
        <v>19198.179905260826</v>
      </c>
      <c r="O28">
        <f>N28/L28</f>
        <v>885.79728876933996</v>
      </c>
    </row>
    <row r="29" spans="1:15" x14ac:dyDescent="0.25">
      <c r="A29">
        <v>6</v>
      </c>
      <c r="B29" t="s">
        <v>192</v>
      </c>
      <c r="C29">
        <v>1233</v>
      </c>
      <c r="D29">
        <v>334.238</v>
      </c>
      <c r="E29">
        <v>412115</v>
      </c>
      <c r="F29">
        <v>311</v>
      </c>
      <c r="G29">
        <v>412115</v>
      </c>
      <c r="H29">
        <v>153.327</v>
      </c>
      <c r="I29" t="s">
        <v>56</v>
      </c>
      <c r="J29" t="s">
        <v>27</v>
      </c>
      <c r="K29" t="s">
        <v>161</v>
      </c>
      <c r="L29">
        <f t="shared" si="0"/>
        <v>30.975151515151513</v>
      </c>
      <c r="M29" t="s">
        <v>16</v>
      </c>
      <c r="N29">
        <f>G29-(((G$32/C$32*C29)+(G$33/C$33*C29)+(G$34/C$34*C29))/3)</f>
        <v>67580.846038366028</v>
      </c>
      <c r="O29">
        <f t="shared" si="5"/>
        <v>2181.7761248176243</v>
      </c>
    </row>
    <row r="30" spans="1:15" x14ac:dyDescent="0.25">
      <c r="A30">
        <v>7</v>
      </c>
      <c r="B30" t="s">
        <v>193</v>
      </c>
      <c r="C30">
        <v>697</v>
      </c>
      <c r="D30">
        <v>299.49900000000002</v>
      </c>
      <c r="E30">
        <v>208751</v>
      </c>
      <c r="F30">
        <v>292</v>
      </c>
      <c r="G30">
        <v>208751</v>
      </c>
      <c r="H30">
        <v>86.179000000000002</v>
      </c>
      <c r="I30" t="s">
        <v>57</v>
      </c>
      <c r="J30" t="s">
        <v>27</v>
      </c>
      <c r="K30" t="s">
        <v>161</v>
      </c>
      <c r="L30">
        <f t="shared" si="0"/>
        <v>17.409898989898991</v>
      </c>
      <c r="M30" t="s">
        <v>16</v>
      </c>
      <c r="N30">
        <f>G30-(((G$32/C$32*C30)+(G$33/C$33*C30)+(G$34/C$34*C30))/3)</f>
        <v>13990.006235799781</v>
      </c>
      <c r="O30">
        <f t="shared" si="5"/>
        <v>803.56619207938024</v>
      </c>
    </row>
    <row r="31" spans="1:15" x14ac:dyDescent="0.25">
      <c r="A31">
        <v>8</v>
      </c>
      <c r="B31" t="s">
        <v>194</v>
      </c>
      <c r="C31">
        <v>1014</v>
      </c>
      <c r="D31">
        <v>313.77100000000002</v>
      </c>
      <c r="E31">
        <v>318164</v>
      </c>
      <c r="F31">
        <v>296</v>
      </c>
      <c r="G31">
        <v>318164</v>
      </c>
      <c r="H31">
        <v>126.042</v>
      </c>
      <c r="I31" t="s">
        <v>58</v>
      </c>
      <c r="J31" t="s">
        <v>27</v>
      </c>
      <c r="K31" t="s">
        <v>161</v>
      </c>
      <c r="L31">
        <f t="shared" si="0"/>
        <v>25.463030303030301</v>
      </c>
      <c r="M31" t="s">
        <v>16</v>
      </c>
      <c r="N31">
        <f>G31-(((G$32/C$32*C31)+(G$33/C$33*C31)+(G$34/C$34*C31))/3)</f>
        <v>34824.476790675719</v>
      </c>
      <c r="O31">
        <f t="shared" si="5"/>
        <v>1367.6485624938102</v>
      </c>
    </row>
    <row r="32" spans="1:15" x14ac:dyDescent="0.25">
      <c r="A32">
        <v>9</v>
      </c>
      <c r="B32" t="s">
        <v>195</v>
      </c>
      <c r="C32">
        <v>1080</v>
      </c>
      <c r="D32">
        <v>279.45800000000003</v>
      </c>
      <c r="E32">
        <v>301815</v>
      </c>
      <c r="F32">
        <v>279</v>
      </c>
      <c r="G32">
        <v>301815</v>
      </c>
      <c r="H32">
        <v>133.607</v>
      </c>
      <c r="I32" t="s">
        <v>124</v>
      </c>
      <c r="K32" t="s">
        <v>161</v>
      </c>
      <c r="L32">
        <f t="shared" si="0"/>
        <v>26.991313131313131</v>
      </c>
      <c r="M32" t="s">
        <v>16</v>
      </c>
      <c r="O32">
        <f t="shared" si="5"/>
        <v>0</v>
      </c>
    </row>
    <row r="33" spans="1:15" x14ac:dyDescent="0.25">
      <c r="A33">
        <v>10</v>
      </c>
      <c r="B33" t="s">
        <v>196</v>
      </c>
      <c r="C33">
        <v>1257</v>
      </c>
      <c r="D33">
        <v>279.39999999999998</v>
      </c>
      <c r="E33">
        <v>351206</v>
      </c>
      <c r="F33">
        <v>279</v>
      </c>
      <c r="G33">
        <v>351206</v>
      </c>
      <c r="H33">
        <v>155.881</v>
      </c>
      <c r="I33" t="s">
        <v>124</v>
      </c>
      <c r="K33" t="s">
        <v>161</v>
      </c>
      <c r="L33">
        <f t="shared" si="0"/>
        <v>31.49111111111111</v>
      </c>
      <c r="M33" t="s">
        <v>16</v>
      </c>
      <c r="O33">
        <f t="shared" si="5"/>
        <v>0</v>
      </c>
    </row>
    <row r="34" spans="1:15" x14ac:dyDescent="0.25">
      <c r="A34">
        <v>11</v>
      </c>
      <c r="B34" t="s">
        <v>197</v>
      </c>
      <c r="C34">
        <v>995</v>
      </c>
      <c r="D34">
        <v>279.42399999999998</v>
      </c>
      <c r="E34">
        <v>278027</v>
      </c>
      <c r="F34">
        <v>279</v>
      </c>
      <c r="G34">
        <v>278027</v>
      </c>
      <c r="H34">
        <v>123.03</v>
      </c>
      <c r="I34" t="s">
        <v>124</v>
      </c>
      <c r="K34" t="s">
        <v>161</v>
      </c>
      <c r="L34">
        <f>H34/4.95</f>
        <v>24.854545454545455</v>
      </c>
      <c r="M34" t="s">
        <v>16</v>
      </c>
      <c r="O34">
        <f t="shared" si="5"/>
        <v>0</v>
      </c>
    </row>
    <row r="35" spans="1:15" x14ac:dyDescent="0.25">
      <c r="A35">
        <v>1</v>
      </c>
      <c r="B35" t="s">
        <v>198</v>
      </c>
      <c r="C35">
        <v>1051</v>
      </c>
      <c r="D35">
        <v>335.05200000000002</v>
      </c>
      <c r="E35">
        <v>352140</v>
      </c>
      <c r="F35">
        <v>310</v>
      </c>
      <c r="G35">
        <v>352140</v>
      </c>
      <c r="H35">
        <v>130.78</v>
      </c>
      <c r="I35" t="s">
        <v>59</v>
      </c>
      <c r="J35" t="s">
        <v>27</v>
      </c>
      <c r="K35" t="s">
        <v>161</v>
      </c>
      <c r="L35">
        <f t="shared" si="0"/>
        <v>26.420202020202019</v>
      </c>
      <c r="M35" t="s">
        <v>17</v>
      </c>
      <c r="N35">
        <f>G35-(((G$43/C$43*C35)+(G$44/C$44*C35)+(G$45/C$45*C35))/3)</f>
        <v>57260.791859800927</v>
      </c>
      <c r="O35">
        <f t="shared" ref="O35:O42" si="8">N35/L35</f>
        <v>2167.310901559983</v>
      </c>
    </row>
    <row r="36" spans="1:15" x14ac:dyDescent="0.25">
      <c r="A36">
        <v>2</v>
      </c>
      <c r="B36" t="s">
        <v>199</v>
      </c>
      <c r="C36">
        <v>1080</v>
      </c>
      <c r="D36">
        <v>333.14400000000001</v>
      </c>
      <c r="E36">
        <v>359796</v>
      </c>
      <c r="F36">
        <v>311</v>
      </c>
      <c r="G36">
        <v>359796</v>
      </c>
      <c r="H36">
        <v>133.756</v>
      </c>
      <c r="I36" t="s">
        <v>60</v>
      </c>
      <c r="J36" t="s">
        <v>27</v>
      </c>
      <c r="K36" t="s">
        <v>161</v>
      </c>
      <c r="L36">
        <f t="shared" si="0"/>
        <v>27.021414141414141</v>
      </c>
      <c r="M36" t="s">
        <v>17</v>
      </c>
      <c r="N36">
        <f t="shared" ref="N36:N42" si="9">G36-(((G$43/C$43*C36)+(G$44/C$44*C36)+(G$45/C$45*C36))/3)</f>
        <v>56780.258048130374</v>
      </c>
      <c r="O36">
        <f t="shared" si="8"/>
        <v>2101.3059402063859</v>
      </c>
    </row>
    <row r="37" spans="1:15" x14ac:dyDescent="0.25">
      <c r="A37">
        <v>3</v>
      </c>
      <c r="B37" t="s">
        <v>200</v>
      </c>
      <c r="C37">
        <v>923</v>
      </c>
      <c r="D37">
        <v>301.63099999999997</v>
      </c>
      <c r="E37">
        <v>278405</v>
      </c>
      <c r="F37">
        <v>291</v>
      </c>
      <c r="G37">
        <v>278405</v>
      </c>
      <c r="H37">
        <v>114.64700000000001</v>
      </c>
      <c r="I37" t="s">
        <v>45</v>
      </c>
      <c r="J37" t="s">
        <v>27</v>
      </c>
      <c r="K37" t="s">
        <v>161</v>
      </c>
      <c r="L37">
        <f t="shared" si="0"/>
        <v>23.161010101010103</v>
      </c>
      <c r="M37" t="s">
        <v>17</v>
      </c>
      <c r="N37">
        <f t="shared" si="9"/>
        <v>19438.768683726201</v>
      </c>
      <c r="O37">
        <f t="shared" si="8"/>
        <v>839.28846794460117</v>
      </c>
    </row>
    <row r="38" spans="1:15" x14ac:dyDescent="0.25">
      <c r="A38">
        <v>4</v>
      </c>
      <c r="B38" t="s">
        <v>201</v>
      </c>
      <c r="C38">
        <v>1181</v>
      </c>
      <c r="D38">
        <v>353.827</v>
      </c>
      <c r="E38">
        <v>417870</v>
      </c>
      <c r="F38">
        <v>323</v>
      </c>
      <c r="G38">
        <v>417870</v>
      </c>
      <c r="H38">
        <v>146.38399999999999</v>
      </c>
      <c r="I38" t="s">
        <v>61</v>
      </c>
      <c r="J38" t="s">
        <v>27</v>
      </c>
      <c r="K38" t="s">
        <v>161</v>
      </c>
      <c r="L38">
        <f t="shared" si="0"/>
        <v>29.572525252525249</v>
      </c>
      <c r="M38" t="s">
        <v>17</v>
      </c>
      <c r="N38">
        <f t="shared" si="9"/>
        <v>86516.674773001811</v>
      </c>
      <c r="O38">
        <f t="shared" si="8"/>
        <v>2925.5761567272311</v>
      </c>
    </row>
    <row r="39" spans="1:15" x14ac:dyDescent="0.25">
      <c r="A39">
        <v>5</v>
      </c>
      <c r="B39" t="s">
        <v>202</v>
      </c>
      <c r="C39">
        <v>1052</v>
      </c>
      <c r="D39">
        <v>364.18700000000001</v>
      </c>
      <c r="E39">
        <v>383125</v>
      </c>
      <c r="F39">
        <v>335</v>
      </c>
      <c r="G39">
        <v>383125</v>
      </c>
      <c r="H39">
        <v>130.696</v>
      </c>
      <c r="I39" t="s">
        <v>62</v>
      </c>
      <c r="J39" t="s">
        <v>27</v>
      </c>
      <c r="K39" t="s">
        <v>161</v>
      </c>
      <c r="L39">
        <f t="shared" si="0"/>
        <v>26.403232323232324</v>
      </c>
      <c r="M39" t="s">
        <v>17</v>
      </c>
      <c r="N39">
        <f t="shared" si="9"/>
        <v>87965.221728364006</v>
      </c>
      <c r="O39">
        <f t="shared" si="8"/>
        <v>3331.6080641748931</v>
      </c>
    </row>
    <row r="40" spans="1:15" x14ac:dyDescent="0.25">
      <c r="A40">
        <v>6</v>
      </c>
      <c r="B40" t="s">
        <v>203</v>
      </c>
      <c r="C40">
        <v>988</v>
      </c>
      <c r="D40">
        <v>324.35000000000002</v>
      </c>
      <c r="E40">
        <v>320458</v>
      </c>
      <c r="F40">
        <v>304</v>
      </c>
      <c r="G40">
        <v>320458</v>
      </c>
      <c r="H40">
        <v>122.996</v>
      </c>
      <c r="I40" t="s">
        <v>63</v>
      </c>
      <c r="J40" t="s">
        <v>27</v>
      </c>
      <c r="K40" t="s">
        <v>161</v>
      </c>
      <c r="L40">
        <f t="shared" si="0"/>
        <v>24.847676767676766</v>
      </c>
      <c r="M40" t="s">
        <v>17</v>
      </c>
      <c r="N40">
        <f t="shared" si="9"/>
        <v>43254.710140326701</v>
      </c>
      <c r="O40">
        <f t="shared" si="8"/>
        <v>1740.7949461333471</v>
      </c>
    </row>
    <row r="41" spans="1:15" x14ac:dyDescent="0.25">
      <c r="A41">
        <v>7</v>
      </c>
      <c r="B41" t="s">
        <v>204</v>
      </c>
      <c r="C41">
        <v>1146</v>
      </c>
      <c r="D41">
        <v>311.25700000000001</v>
      </c>
      <c r="E41">
        <v>356700</v>
      </c>
      <c r="F41">
        <v>297</v>
      </c>
      <c r="G41">
        <v>356700</v>
      </c>
      <c r="H41">
        <v>142.72300000000001</v>
      </c>
      <c r="I41" t="s">
        <v>64</v>
      </c>
      <c r="J41" t="s">
        <v>27</v>
      </c>
      <c r="K41" t="s">
        <v>161</v>
      </c>
      <c r="L41">
        <f t="shared" si="0"/>
        <v>28.832929292929293</v>
      </c>
      <c r="M41" t="s">
        <v>17</v>
      </c>
      <c r="N41">
        <f t="shared" si="9"/>
        <v>35166.629373293836</v>
      </c>
      <c r="O41">
        <f t="shared" si="8"/>
        <v>1219.6689769539912</v>
      </c>
    </row>
    <row r="42" spans="1:15" x14ac:dyDescent="0.25">
      <c r="A42">
        <v>8</v>
      </c>
      <c r="B42" t="s">
        <v>205</v>
      </c>
      <c r="C42">
        <v>1226</v>
      </c>
      <c r="D42">
        <v>343.85</v>
      </c>
      <c r="E42">
        <v>421560</v>
      </c>
      <c r="F42">
        <v>313</v>
      </c>
      <c r="G42">
        <v>421560</v>
      </c>
      <c r="H42">
        <v>152.59800000000001</v>
      </c>
      <c r="I42" t="s">
        <v>65</v>
      </c>
      <c r="J42" t="s">
        <v>27</v>
      </c>
      <c r="K42" t="s">
        <v>161</v>
      </c>
      <c r="L42">
        <f t="shared" si="0"/>
        <v>30.827878787878788</v>
      </c>
      <c r="M42" t="s">
        <v>17</v>
      </c>
      <c r="N42">
        <f t="shared" si="9"/>
        <v>77581.018858340569</v>
      </c>
      <c r="O42">
        <f t="shared" si="8"/>
        <v>2516.5863467986856</v>
      </c>
    </row>
    <row r="43" spans="1:15" x14ac:dyDescent="0.25">
      <c r="A43">
        <v>9</v>
      </c>
      <c r="B43" t="s">
        <v>206</v>
      </c>
      <c r="C43">
        <v>1219</v>
      </c>
      <c r="D43">
        <v>280.81099999999998</v>
      </c>
      <c r="E43">
        <v>342309</v>
      </c>
      <c r="F43">
        <v>281</v>
      </c>
      <c r="G43">
        <v>342309</v>
      </c>
      <c r="H43">
        <v>151.14500000000001</v>
      </c>
      <c r="I43" t="s">
        <v>124</v>
      </c>
      <c r="K43" t="s">
        <v>161</v>
      </c>
      <c r="L43">
        <f t="shared" si="0"/>
        <v>30.534343434343434</v>
      </c>
      <c r="M43" t="s">
        <v>17</v>
      </c>
      <c r="O43">
        <f t="shared" si="5"/>
        <v>0</v>
      </c>
    </row>
    <row r="44" spans="1:15" x14ac:dyDescent="0.25">
      <c r="A44">
        <v>10</v>
      </c>
      <c r="B44" t="s">
        <v>207</v>
      </c>
      <c r="C44">
        <v>1199</v>
      </c>
      <c r="D44">
        <v>280.64600000000002</v>
      </c>
      <c r="E44">
        <v>336495</v>
      </c>
      <c r="F44">
        <v>281</v>
      </c>
      <c r="G44">
        <v>336495</v>
      </c>
      <c r="H44">
        <v>149.71600000000001</v>
      </c>
      <c r="I44" t="s">
        <v>124</v>
      </c>
      <c r="K44" t="s">
        <v>161</v>
      </c>
      <c r="L44">
        <f t="shared" si="0"/>
        <v>30.245656565656567</v>
      </c>
      <c r="M44" t="s">
        <v>17</v>
      </c>
      <c r="O44">
        <f t="shared" si="5"/>
        <v>0</v>
      </c>
    </row>
    <row r="45" spans="1:15" x14ac:dyDescent="0.25">
      <c r="A45">
        <v>11</v>
      </c>
      <c r="B45" t="s">
        <v>208</v>
      </c>
      <c r="C45">
        <v>1203</v>
      </c>
      <c r="D45">
        <v>280.25299999999999</v>
      </c>
      <c r="E45">
        <v>337144</v>
      </c>
      <c r="F45">
        <v>280</v>
      </c>
      <c r="G45">
        <v>337144</v>
      </c>
      <c r="H45">
        <v>149.26499999999999</v>
      </c>
      <c r="I45" t="s">
        <v>124</v>
      </c>
      <c r="K45" t="s">
        <v>161</v>
      </c>
      <c r="L45">
        <f t="shared" si="0"/>
        <v>30.154545454545449</v>
      </c>
      <c r="M45" t="s">
        <v>17</v>
      </c>
      <c r="O45">
        <f t="shared" si="5"/>
        <v>0</v>
      </c>
    </row>
    <row r="46" spans="1:15" x14ac:dyDescent="0.25">
      <c r="A46">
        <v>1</v>
      </c>
      <c r="B46" t="s">
        <v>209</v>
      </c>
      <c r="C46">
        <v>943</v>
      </c>
      <c r="D46">
        <v>301.125</v>
      </c>
      <c r="E46">
        <v>283961</v>
      </c>
      <c r="F46">
        <v>289</v>
      </c>
      <c r="G46">
        <v>283961</v>
      </c>
      <c r="H46">
        <v>116.194</v>
      </c>
      <c r="I46" t="s">
        <v>66</v>
      </c>
      <c r="J46" t="s">
        <v>27</v>
      </c>
      <c r="K46" t="s">
        <v>162</v>
      </c>
      <c r="L46">
        <f t="shared" si="0"/>
        <v>23.473535353535354</v>
      </c>
      <c r="M46" t="s">
        <v>19</v>
      </c>
      <c r="N46">
        <f>G46-(((G$54/C$54*C46)+(G$55/C$55*C46)+(G$56/C$56*C46))/3)</f>
        <v>18952.537171459524</v>
      </c>
      <c r="O46">
        <f>N46/L46</f>
        <v>807.40020137635884</v>
      </c>
    </row>
    <row r="47" spans="1:15" x14ac:dyDescent="0.25">
      <c r="A47">
        <v>2</v>
      </c>
      <c r="B47" t="s">
        <v>210</v>
      </c>
      <c r="C47">
        <v>1060</v>
      </c>
      <c r="D47">
        <v>307.16500000000002</v>
      </c>
      <c r="E47">
        <v>325595</v>
      </c>
      <c r="F47">
        <v>294</v>
      </c>
      <c r="G47">
        <v>325595</v>
      </c>
      <c r="H47">
        <v>131.88999999999999</v>
      </c>
      <c r="I47" t="s">
        <v>67</v>
      </c>
      <c r="J47" t="s">
        <v>27</v>
      </c>
      <c r="K47" t="s">
        <v>162</v>
      </c>
      <c r="L47">
        <f t="shared" si="0"/>
        <v>26.644444444444442</v>
      </c>
      <c r="M47" t="s">
        <v>19</v>
      </c>
      <c r="N47">
        <f t="shared" ref="N47:N53" si="10">G47-(((G$54/C$54*C47)+(G$55/C$55*C47)+(G$56/C$56*C47))/3)</f>
        <v>27706.377944588661</v>
      </c>
      <c r="O47">
        <f>N47/L47</f>
        <v>1039.8557193548706</v>
      </c>
    </row>
    <row r="48" spans="1:15" x14ac:dyDescent="0.25">
      <c r="A48">
        <v>3</v>
      </c>
      <c r="B48" t="s">
        <v>211</v>
      </c>
      <c r="C48">
        <v>814</v>
      </c>
      <c r="D48">
        <v>311.45299999999997</v>
      </c>
      <c r="E48">
        <v>253523</v>
      </c>
      <c r="F48">
        <v>298</v>
      </c>
      <c r="G48">
        <v>253523</v>
      </c>
      <c r="H48">
        <v>100.575</v>
      </c>
      <c r="I48" t="s">
        <v>68</v>
      </c>
      <c r="J48" t="s">
        <v>27</v>
      </c>
      <c r="K48" t="s">
        <v>162</v>
      </c>
      <c r="L48">
        <f t="shared" si="0"/>
        <v>20.318181818181817</v>
      </c>
      <c r="M48" t="s">
        <v>19</v>
      </c>
      <c r="N48">
        <f t="shared" si="10"/>
        <v>24767.020421599183</v>
      </c>
      <c r="O48">
        <f>N48/L48</f>
        <v>1218.9584994970517</v>
      </c>
    </row>
    <row r="49" spans="1:15" x14ac:dyDescent="0.25">
      <c r="A49">
        <v>4</v>
      </c>
      <c r="B49" t="s">
        <v>212</v>
      </c>
      <c r="C49">
        <v>1125</v>
      </c>
      <c r="D49">
        <v>332.11399999999998</v>
      </c>
      <c r="E49">
        <v>373628</v>
      </c>
      <c r="F49">
        <v>312</v>
      </c>
      <c r="G49">
        <v>373628</v>
      </c>
      <c r="H49">
        <v>139.34</v>
      </c>
      <c r="I49" t="s">
        <v>69</v>
      </c>
      <c r="J49" t="s">
        <v>27</v>
      </c>
      <c r="K49" t="s">
        <v>162</v>
      </c>
      <c r="L49">
        <f t="shared" si="0"/>
        <v>28.149494949494951</v>
      </c>
      <c r="M49" t="s">
        <v>19</v>
      </c>
      <c r="N49">
        <f t="shared" si="10"/>
        <v>57472.62281854928</v>
      </c>
      <c r="O49">
        <f t="shared" si="5"/>
        <v>2041.6928588475594</v>
      </c>
    </row>
    <row r="50" spans="1:15" x14ac:dyDescent="0.25">
      <c r="A50">
        <v>5</v>
      </c>
      <c r="B50" t="s">
        <v>213</v>
      </c>
      <c r="C50">
        <v>970</v>
      </c>
      <c r="D50">
        <v>318.29700000000003</v>
      </c>
      <c r="E50">
        <v>308748</v>
      </c>
      <c r="F50">
        <v>304</v>
      </c>
      <c r="G50">
        <v>308748</v>
      </c>
      <c r="H50">
        <v>120.334</v>
      </c>
      <c r="I50" t="s">
        <v>46</v>
      </c>
      <c r="J50" t="s">
        <v>27</v>
      </c>
      <c r="K50" t="s">
        <v>162</v>
      </c>
      <c r="L50">
        <f t="shared" si="0"/>
        <v>24.30989898989899</v>
      </c>
      <c r="M50" t="s">
        <v>19</v>
      </c>
      <c r="N50">
        <f t="shared" si="10"/>
        <v>36151.808119104709</v>
      </c>
      <c r="O50">
        <f t="shared" si="5"/>
        <v>1487.1229261020851</v>
      </c>
    </row>
    <row r="51" spans="1:15" x14ac:dyDescent="0.25">
      <c r="A51">
        <v>6</v>
      </c>
      <c r="B51" t="s">
        <v>214</v>
      </c>
      <c r="C51">
        <v>854</v>
      </c>
      <c r="D51">
        <v>303.392</v>
      </c>
      <c r="E51">
        <v>259097</v>
      </c>
      <c r="F51">
        <v>293</v>
      </c>
      <c r="G51">
        <v>259097</v>
      </c>
      <c r="H51">
        <v>105.12</v>
      </c>
      <c r="I51" t="s">
        <v>70</v>
      </c>
      <c r="J51" t="s">
        <v>27</v>
      </c>
      <c r="K51" t="s">
        <v>162</v>
      </c>
      <c r="L51">
        <f t="shared" si="0"/>
        <v>21.236363636363638</v>
      </c>
      <c r="M51" t="s">
        <v>19</v>
      </c>
      <c r="N51">
        <f t="shared" si="10"/>
        <v>19099.940344036528</v>
      </c>
      <c r="O51">
        <f t="shared" si="5"/>
        <v>899.39787578939126</v>
      </c>
    </row>
    <row r="52" spans="1:15" x14ac:dyDescent="0.25">
      <c r="A52">
        <v>7</v>
      </c>
      <c r="B52" t="s">
        <v>215</v>
      </c>
      <c r="C52">
        <v>917</v>
      </c>
      <c r="D52">
        <v>319.16899999999998</v>
      </c>
      <c r="E52">
        <v>292678</v>
      </c>
      <c r="F52">
        <v>302</v>
      </c>
      <c r="G52">
        <v>292678</v>
      </c>
      <c r="H52">
        <v>113.994</v>
      </c>
      <c r="I52" t="s">
        <v>71</v>
      </c>
      <c r="J52" t="s">
        <v>27</v>
      </c>
      <c r="K52" t="s">
        <v>162</v>
      </c>
      <c r="L52">
        <f t="shared" si="0"/>
        <v>23.029090909090908</v>
      </c>
      <c r="M52" t="s">
        <v>19</v>
      </c>
      <c r="N52">
        <f t="shared" si="10"/>
        <v>34976.239221875294</v>
      </c>
      <c r="O52">
        <f t="shared" si="5"/>
        <v>1518.7850601635412</v>
      </c>
    </row>
    <row r="53" spans="1:15" x14ac:dyDescent="0.25">
      <c r="A53">
        <v>8</v>
      </c>
      <c r="B53" t="s">
        <v>216</v>
      </c>
      <c r="C53">
        <v>1138</v>
      </c>
      <c r="D53">
        <v>346.589</v>
      </c>
      <c r="E53">
        <v>394418</v>
      </c>
      <c r="F53">
        <v>324</v>
      </c>
      <c r="G53">
        <v>394418</v>
      </c>
      <c r="H53">
        <v>141.30199999999999</v>
      </c>
      <c r="I53" t="s">
        <v>72</v>
      </c>
      <c r="J53" t="s">
        <v>27</v>
      </c>
      <c r="K53" t="s">
        <v>162</v>
      </c>
      <c r="L53">
        <f t="shared" si="0"/>
        <v>28.545858585858582</v>
      </c>
      <c r="M53" t="s">
        <v>19</v>
      </c>
      <c r="N53">
        <f t="shared" si="10"/>
        <v>74609.271793341439</v>
      </c>
      <c r="O53">
        <f t="shared" si="5"/>
        <v>2613.6636096944144</v>
      </c>
    </row>
    <row r="54" spans="1:15" x14ac:dyDescent="0.25">
      <c r="A54">
        <v>9</v>
      </c>
      <c r="B54" t="s">
        <v>217</v>
      </c>
      <c r="C54">
        <v>1051</v>
      </c>
      <c r="D54">
        <v>281.40800000000002</v>
      </c>
      <c r="E54">
        <v>295760</v>
      </c>
      <c r="F54">
        <v>281</v>
      </c>
      <c r="G54">
        <v>295760</v>
      </c>
      <c r="H54">
        <v>130.601</v>
      </c>
      <c r="I54" t="s">
        <v>124</v>
      </c>
      <c r="K54" t="s">
        <v>162</v>
      </c>
      <c r="L54">
        <f t="shared" si="0"/>
        <v>26.384040404040402</v>
      </c>
      <c r="M54" t="s">
        <v>19</v>
      </c>
      <c r="O54">
        <f t="shared" si="5"/>
        <v>0</v>
      </c>
    </row>
    <row r="55" spans="1:15" x14ac:dyDescent="0.25">
      <c r="A55">
        <v>10</v>
      </c>
      <c r="B55" t="s">
        <v>218</v>
      </c>
      <c r="C55">
        <v>1085</v>
      </c>
      <c r="D55">
        <v>281.02300000000002</v>
      </c>
      <c r="E55">
        <v>304910</v>
      </c>
      <c r="F55">
        <v>281</v>
      </c>
      <c r="G55">
        <v>304910</v>
      </c>
      <c r="H55">
        <v>134.53800000000001</v>
      </c>
      <c r="I55" t="s">
        <v>124</v>
      </c>
      <c r="K55" t="s">
        <v>162</v>
      </c>
      <c r="L55">
        <f t="shared" si="0"/>
        <v>27.17939393939394</v>
      </c>
      <c r="M55" t="s">
        <v>19</v>
      </c>
      <c r="O55">
        <f t="shared" si="5"/>
        <v>0</v>
      </c>
    </row>
    <row r="56" spans="1:15" x14ac:dyDescent="0.25">
      <c r="A56">
        <v>11</v>
      </c>
      <c r="B56" t="s">
        <v>219</v>
      </c>
      <c r="C56">
        <v>1145</v>
      </c>
      <c r="D56">
        <v>280.64999999999998</v>
      </c>
      <c r="E56">
        <v>321344</v>
      </c>
      <c r="F56">
        <v>281</v>
      </c>
      <c r="G56">
        <v>321344</v>
      </c>
      <c r="H56">
        <v>142.14599999999999</v>
      </c>
      <c r="I56" t="s">
        <v>124</v>
      </c>
      <c r="K56" t="s">
        <v>162</v>
      </c>
      <c r="L56">
        <f t="shared" si="0"/>
        <v>28.716363636363631</v>
      </c>
      <c r="M56" t="s">
        <v>19</v>
      </c>
      <c r="O56">
        <f t="shared" si="5"/>
        <v>0</v>
      </c>
    </row>
    <row r="57" spans="1:15" x14ac:dyDescent="0.25">
      <c r="A57">
        <v>1</v>
      </c>
      <c r="B57" t="s">
        <v>220</v>
      </c>
      <c r="C57">
        <v>1012</v>
      </c>
      <c r="D57">
        <v>324.42099999999999</v>
      </c>
      <c r="E57">
        <v>328314</v>
      </c>
      <c r="F57">
        <v>300</v>
      </c>
      <c r="G57">
        <v>328314</v>
      </c>
      <c r="H57">
        <v>125.444</v>
      </c>
      <c r="I57" t="s">
        <v>73</v>
      </c>
      <c r="J57" t="s">
        <v>27</v>
      </c>
      <c r="K57" t="s">
        <v>162</v>
      </c>
      <c r="L57">
        <f t="shared" si="0"/>
        <v>25.342222222222222</v>
      </c>
      <c r="M57" t="s">
        <v>20</v>
      </c>
      <c r="N57">
        <f t="shared" ref="N57:N64" si="11">G57-(((G$65/C$65*C57)+(G$66/C$66*C57)+(G$67/C$67*C57))/3)</f>
        <v>43591.884447613033</v>
      </c>
      <c r="O57">
        <f>N57/L57</f>
        <v>1720.1287268875715</v>
      </c>
    </row>
    <row r="58" spans="1:15" x14ac:dyDescent="0.25">
      <c r="A58">
        <v>2</v>
      </c>
      <c r="B58" t="s">
        <v>221</v>
      </c>
      <c r="C58">
        <v>953</v>
      </c>
      <c r="D58">
        <v>295.99400000000003</v>
      </c>
      <c r="E58">
        <v>282082</v>
      </c>
      <c r="F58">
        <v>288</v>
      </c>
      <c r="G58">
        <v>282082</v>
      </c>
      <c r="H58">
        <v>118.83499999999999</v>
      </c>
      <c r="I58" t="s">
        <v>74</v>
      </c>
      <c r="J58" t="s">
        <v>27</v>
      </c>
      <c r="K58" t="s">
        <v>162</v>
      </c>
      <c r="L58">
        <f t="shared" si="0"/>
        <v>24.007070707070707</v>
      </c>
      <c r="M58" t="s">
        <v>20</v>
      </c>
      <c r="N58">
        <f t="shared" si="11"/>
        <v>13959.296322702779</v>
      </c>
      <c r="O58">
        <f t="shared" si="5"/>
        <v>581.46603944442938</v>
      </c>
    </row>
    <row r="59" spans="1:15" x14ac:dyDescent="0.25">
      <c r="A59">
        <v>3</v>
      </c>
      <c r="B59" t="s">
        <v>222</v>
      </c>
      <c r="C59">
        <v>1215</v>
      </c>
      <c r="D59">
        <v>342.053</v>
      </c>
      <c r="E59">
        <v>415594</v>
      </c>
      <c r="F59">
        <v>317</v>
      </c>
      <c r="G59">
        <v>415594</v>
      </c>
      <c r="H59">
        <v>151.018</v>
      </c>
      <c r="I59" t="s">
        <v>75</v>
      </c>
      <c r="J59" t="s">
        <v>27</v>
      </c>
      <c r="K59" t="s">
        <v>162</v>
      </c>
      <c r="L59">
        <f t="shared" si="0"/>
        <v>30.508686868686869</v>
      </c>
      <c r="M59" t="s">
        <v>20</v>
      </c>
      <c r="N59">
        <f t="shared" si="11"/>
        <v>73758.653758744884</v>
      </c>
      <c r="O59">
        <f t="shared" si="5"/>
        <v>2417.627939091944</v>
      </c>
    </row>
    <row r="60" spans="1:15" x14ac:dyDescent="0.25">
      <c r="A60">
        <v>4</v>
      </c>
      <c r="B60" t="s">
        <v>223</v>
      </c>
      <c r="C60">
        <v>1172</v>
      </c>
      <c r="D60">
        <v>361.50599999999997</v>
      </c>
      <c r="E60">
        <v>423685</v>
      </c>
      <c r="F60">
        <v>336</v>
      </c>
      <c r="G60">
        <v>423685</v>
      </c>
      <c r="H60">
        <v>145.24</v>
      </c>
      <c r="I60" t="s">
        <v>76</v>
      </c>
      <c r="J60" t="s">
        <v>27</v>
      </c>
      <c r="K60" t="s">
        <v>162</v>
      </c>
      <c r="L60">
        <f t="shared" si="0"/>
        <v>29.341414141414141</v>
      </c>
      <c r="M60" t="s">
        <v>20</v>
      </c>
      <c r="N60">
        <f t="shared" si="11"/>
        <v>93947.530210081488</v>
      </c>
      <c r="O60">
        <f t="shared" si="5"/>
        <v>3201.8746525743827</v>
      </c>
    </row>
    <row r="61" spans="1:15" x14ac:dyDescent="0.25">
      <c r="A61">
        <v>5</v>
      </c>
      <c r="B61" t="s">
        <v>224</v>
      </c>
      <c r="C61">
        <v>951</v>
      </c>
      <c r="D61">
        <v>313.47399999999999</v>
      </c>
      <c r="E61">
        <v>298114</v>
      </c>
      <c r="F61">
        <v>302</v>
      </c>
      <c r="G61">
        <v>298114</v>
      </c>
      <c r="H61">
        <v>117.63</v>
      </c>
      <c r="I61" t="s">
        <v>77</v>
      </c>
      <c r="J61" t="s">
        <v>27</v>
      </c>
      <c r="K61" t="s">
        <v>162</v>
      </c>
      <c r="L61">
        <f t="shared" si="0"/>
        <v>23.763636363636362</v>
      </c>
      <c r="M61" t="s">
        <v>20</v>
      </c>
      <c r="N61">
        <f t="shared" si="11"/>
        <v>30553.988250671944</v>
      </c>
      <c r="O61">
        <f t="shared" si="5"/>
        <v>1285.7454887428898</v>
      </c>
    </row>
    <row r="62" spans="1:15" x14ac:dyDescent="0.25">
      <c r="A62">
        <v>6</v>
      </c>
      <c r="B62" t="s">
        <v>225</v>
      </c>
      <c r="C62">
        <v>699</v>
      </c>
      <c r="D62">
        <v>305.63400000000001</v>
      </c>
      <c r="E62">
        <v>213638</v>
      </c>
      <c r="F62">
        <v>299</v>
      </c>
      <c r="G62">
        <v>213638</v>
      </c>
      <c r="H62">
        <v>86.674000000000007</v>
      </c>
      <c r="I62" t="s">
        <v>78</v>
      </c>
      <c r="J62" t="s">
        <v>27</v>
      </c>
      <c r="K62" t="s">
        <v>162</v>
      </c>
      <c r="L62">
        <f t="shared" si="0"/>
        <v>17.509898989898989</v>
      </c>
      <c r="M62" t="s">
        <v>20</v>
      </c>
      <c r="N62">
        <f t="shared" si="11"/>
        <v>16977.171174784075</v>
      </c>
      <c r="O62">
        <f t="shared" si="5"/>
        <v>969.57562031498685</v>
      </c>
    </row>
    <row r="63" spans="1:15" x14ac:dyDescent="0.25">
      <c r="A63">
        <v>7</v>
      </c>
      <c r="B63" t="s">
        <v>226</v>
      </c>
      <c r="C63">
        <v>944</v>
      </c>
      <c r="D63">
        <v>322.916</v>
      </c>
      <c r="E63">
        <v>304833</v>
      </c>
      <c r="F63">
        <v>308</v>
      </c>
      <c r="G63">
        <v>304833</v>
      </c>
      <c r="H63">
        <v>117.45399999999999</v>
      </c>
      <c r="I63" t="s">
        <v>47</v>
      </c>
      <c r="J63" t="s">
        <v>27</v>
      </c>
      <c r="K63" t="s">
        <v>162</v>
      </c>
      <c r="L63">
        <f t="shared" si="0"/>
        <v>23.728080808080804</v>
      </c>
      <c r="M63" t="s">
        <v>20</v>
      </c>
      <c r="N63">
        <f t="shared" si="11"/>
        <v>39242.409998563875</v>
      </c>
      <c r="O63">
        <f t="shared" si="5"/>
        <v>1653.8383494209752</v>
      </c>
    </row>
    <row r="64" spans="1:15" x14ac:dyDescent="0.25">
      <c r="A64">
        <v>8</v>
      </c>
      <c r="B64" t="s">
        <v>227</v>
      </c>
      <c r="C64">
        <v>913</v>
      </c>
      <c r="D64">
        <v>315.947</v>
      </c>
      <c r="E64">
        <v>288460</v>
      </c>
      <c r="F64">
        <v>298</v>
      </c>
      <c r="G64">
        <v>288460</v>
      </c>
      <c r="H64">
        <v>112.60899999999999</v>
      </c>
      <c r="I64" t="s">
        <v>79</v>
      </c>
      <c r="J64" t="s">
        <v>27</v>
      </c>
      <c r="K64" t="s">
        <v>162</v>
      </c>
      <c r="L64">
        <f t="shared" si="0"/>
        <v>22.749292929292928</v>
      </c>
      <c r="M64" t="s">
        <v>20</v>
      </c>
      <c r="N64">
        <f t="shared" si="11"/>
        <v>31591.134882085636</v>
      </c>
      <c r="O64">
        <f t="shared" si="5"/>
        <v>1388.6644732332577</v>
      </c>
    </row>
    <row r="65" spans="1:15" x14ac:dyDescent="0.25">
      <c r="A65">
        <v>9</v>
      </c>
      <c r="B65" t="s">
        <v>228</v>
      </c>
      <c r="C65">
        <v>1362</v>
      </c>
      <c r="D65">
        <v>281.37900000000002</v>
      </c>
      <c r="E65">
        <v>383238</v>
      </c>
      <c r="F65">
        <v>281</v>
      </c>
      <c r="G65">
        <v>383238</v>
      </c>
      <c r="H65">
        <v>169.227</v>
      </c>
      <c r="I65" t="s">
        <v>124</v>
      </c>
      <c r="K65" t="s">
        <v>162</v>
      </c>
      <c r="L65">
        <f t="shared" si="0"/>
        <v>34.187272727272727</v>
      </c>
      <c r="M65" t="s">
        <v>20</v>
      </c>
      <c r="O65">
        <f t="shared" si="5"/>
        <v>0</v>
      </c>
    </row>
    <row r="66" spans="1:15" x14ac:dyDescent="0.25">
      <c r="A66">
        <v>10</v>
      </c>
      <c r="B66" t="s">
        <v>229</v>
      </c>
      <c r="C66">
        <v>1303</v>
      </c>
      <c r="D66">
        <v>281.38400000000001</v>
      </c>
      <c r="E66">
        <v>366643</v>
      </c>
      <c r="F66">
        <v>281</v>
      </c>
      <c r="G66">
        <v>366643</v>
      </c>
      <c r="H66">
        <v>161.65700000000001</v>
      </c>
      <c r="I66" t="s">
        <v>124</v>
      </c>
      <c r="K66" t="s">
        <v>162</v>
      </c>
      <c r="L66">
        <f t="shared" ref="L66:L129" si="12">H66/4.95</f>
        <v>32.657979797979799</v>
      </c>
      <c r="M66" t="s">
        <v>20</v>
      </c>
      <c r="O66">
        <f t="shared" si="5"/>
        <v>0</v>
      </c>
    </row>
    <row r="67" spans="1:15" x14ac:dyDescent="0.25">
      <c r="A67">
        <v>11</v>
      </c>
      <c r="B67" t="s">
        <v>230</v>
      </c>
      <c r="C67">
        <v>1057</v>
      </c>
      <c r="D67">
        <v>281.27499999999998</v>
      </c>
      <c r="E67">
        <v>297308</v>
      </c>
      <c r="F67">
        <v>281</v>
      </c>
      <c r="G67">
        <v>297308</v>
      </c>
      <c r="H67">
        <v>131.40199999999999</v>
      </c>
      <c r="I67" t="s">
        <v>124</v>
      </c>
      <c r="K67" t="s">
        <v>162</v>
      </c>
      <c r="L67">
        <f t="shared" si="12"/>
        <v>26.545858585858582</v>
      </c>
      <c r="M67" t="s">
        <v>20</v>
      </c>
      <c r="O67">
        <f t="shared" si="5"/>
        <v>0</v>
      </c>
    </row>
    <row r="68" spans="1:15" x14ac:dyDescent="0.25">
      <c r="A68">
        <v>1</v>
      </c>
      <c r="B68" t="s">
        <v>231</v>
      </c>
      <c r="C68">
        <v>690</v>
      </c>
      <c r="D68">
        <v>297.29399999999998</v>
      </c>
      <c r="E68">
        <v>205133</v>
      </c>
      <c r="F68">
        <v>289</v>
      </c>
      <c r="G68">
        <v>205133</v>
      </c>
      <c r="H68">
        <v>85.683000000000007</v>
      </c>
      <c r="I68" t="s">
        <v>80</v>
      </c>
      <c r="J68" t="s">
        <v>27</v>
      </c>
      <c r="K68" t="s">
        <v>162</v>
      </c>
      <c r="L68">
        <f t="shared" si="12"/>
        <v>17.309696969696972</v>
      </c>
      <c r="M68" t="s">
        <v>21</v>
      </c>
      <c r="N68">
        <f>G68-(((G$76/C$76*C68)+(G$77/C$77*C68)+(G$78/C$78*C68))/3)</f>
        <v>10682.734947671532</v>
      </c>
      <c r="O68">
        <f>N68/L68</f>
        <v>617.15320414754467</v>
      </c>
    </row>
    <row r="69" spans="1:15" x14ac:dyDescent="0.25">
      <c r="A69">
        <v>2</v>
      </c>
      <c r="B69" t="s">
        <v>232</v>
      </c>
      <c r="C69">
        <v>791</v>
      </c>
      <c r="D69">
        <v>293.72300000000001</v>
      </c>
      <c r="E69">
        <v>232335</v>
      </c>
      <c r="F69">
        <v>288</v>
      </c>
      <c r="G69">
        <v>232335</v>
      </c>
      <c r="H69">
        <v>97.906999999999996</v>
      </c>
      <c r="I69" t="s">
        <v>81</v>
      </c>
      <c r="J69" t="s">
        <v>27</v>
      </c>
      <c r="K69" t="s">
        <v>162</v>
      </c>
      <c r="L69">
        <f t="shared" si="12"/>
        <v>19.779191919191916</v>
      </c>
      <c r="M69" t="s">
        <v>21</v>
      </c>
      <c r="N69">
        <f t="shared" ref="N69:N75" si="13">G69-(((G$76/C$76*C69)+(G$77/C$77*C69)+(G$78/C$78*C69))/3)</f>
        <v>9421.7251356640772</v>
      </c>
      <c r="O69">
        <f>N69/L69</f>
        <v>476.34530137311111</v>
      </c>
    </row>
    <row r="70" spans="1:15" x14ac:dyDescent="0.25">
      <c r="A70">
        <v>3</v>
      </c>
      <c r="B70" t="s">
        <v>233</v>
      </c>
      <c r="C70">
        <v>834</v>
      </c>
      <c r="D70">
        <v>311.65300000000002</v>
      </c>
      <c r="E70">
        <v>259919</v>
      </c>
      <c r="F70">
        <v>299</v>
      </c>
      <c r="G70">
        <v>259919</v>
      </c>
      <c r="H70">
        <v>102.608</v>
      </c>
      <c r="I70" t="s">
        <v>82</v>
      </c>
      <c r="J70" t="s">
        <v>27</v>
      </c>
      <c r="K70" t="s">
        <v>162</v>
      </c>
      <c r="L70">
        <f t="shared" si="12"/>
        <v>20.728888888888889</v>
      </c>
      <c r="M70" t="s">
        <v>21</v>
      </c>
      <c r="N70">
        <f t="shared" si="13"/>
        <v>24887.810067185579</v>
      </c>
      <c r="O70">
        <f t="shared" si="5"/>
        <v>1200.6340619890127</v>
      </c>
    </row>
    <row r="71" spans="1:15" x14ac:dyDescent="0.25">
      <c r="A71">
        <v>4</v>
      </c>
      <c r="B71" t="s">
        <v>234</v>
      </c>
      <c r="C71">
        <v>1215</v>
      </c>
      <c r="D71">
        <v>362.71800000000002</v>
      </c>
      <c r="E71">
        <v>440702</v>
      </c>
      <c r="F71">
        <v>336</v>
      </c>
      <c r="G71">
        <v>440702</v>
      </c>
      <c r="H71">
        <v>150.79499999999999</v>
      </c>
      <c r="I71" t="s">
        <v>83</v>
      </c>
      <c r="J71" t="s">
        <v>27</v>
      </c>
      <c r="K71" t="s">
        <v>162</v>
      </c>
      <c r="L71">
        <f t="shared" si="12"/>
        <v>30.463636363636361</v>
      </c>
      <c r="M71" t="s">
        <v>21</v>
      </c>
      <c r="N71">
        <f t="shared" si="13"/>
        <v>98300.44632089982</v>
      </c>
      <c r="O71">
        <f t="shared" si="5"/>
        <v>3226.8126216947126</v>
      </c>
    </row>
    <row r="72" spans="1:15" x14ac:dyDescent="0.25">
      <c r="A72">
        <v>5</v>
      </c>
      <c r="B72" t="s">
        <v>235</v>
      </c>
      <c r="C72">
        <v>1288</v>
      </c>
      <c r="D72">
        <v>368.01</v>
      </c>
      <c r="E72">
        <v>473997</v>
      </c>
      <c r="F72">
        <v>333</v>
      </c>
      <c r="G72">
        <v>473997</v>
      </c>
      <c r="H72">
        <v>160.07599999999999</v>
      </c>
      <c r="I72" t="s">
        <v>84</v>
      </c>
      <c r="J72" t="s">
        <v>27</v>
      </c>
      <c r="K72" t="s">
        <v>162</v>
      </c>
      <c r="L72">
        <f t="shared" si="12"/>
        <v>32.338585858585859</v>
      </c>
      <c r="M72" t="s">
        <v>21</v>
      </c>
      <c r="N72">
        <f t="shared" si="13"/>
        <v>111023.17190232017</v>
      </c>
      <c r="O72">
        <f t="shared" si="5"/>
        <v>3433.1486351263452</v>
      </c>
    </row>
    <row r="73" spans="1:15" x14ac:dyDescent="0.25">
      <c r="A73">
        <v>6</v>
      </c>
      <c r="B73" t="s">
        <v>236</v>
      </c>
      <c r="C73">
        <v>893</v>
      </c>
      <c r="D73">
        <v>312.536</v>
      </c>
      <c r="E73">
        <v>279095</v>
      </c>
      <c r="F73">
        <v>298</v>
      </c>
      <c r="G73">
        <v>279095</v>
      </c>
      <c r="H73">
        <v>110.629</v>
      </c>
      <c r="I73" t="s">
        <v>85</v>
      </c>
      <c r="J73" t="s">
        <v>27</v>
      </c>
      <c r="K73" t="s">
        <v>162</v>
      </c>
      <c r="L73">
        <f t="shared" si="12"/>
        <v>22.349292929292929</v>
      </c>
      <c r="M73" t="s">
        <v>21</v>
      </c>
      <c r="N73">
        <f t="shared" si="13"/>
        <v>27436.903345319821</v>
      </c>
      <c r="O73">
        <f t="shared" si="5"/>
        <v>1227.6407773669935</v>
      </c>
    </row>
    <row r="74" spans="1:15" x14ac:dyDescent="0.25">
      <c r="A74">
        <v>7</v>
      </c>
      <c r="B74" t="s">
        <v>237</v>
      </c>
      <c r="C74">
        <v>803</v>
      </c>
      <c r="D74">
        <v>303.81700000000001</v>
      </c>
      <c r="E74">
        <v>243965</v>
      </c>
      <c r="F74">
        <v>291</v>
      </c>
      <c r="G74">
        <v>243965</v>
      </c>
      <c r="H74">
        <v>99.084999999999994</v>
      </c>
      <c r="I74" t="s">
        <v>86</v>
      </c>
      <c r="J74" t="s">
        <v>27</v>
      </c>
      <c r="K74" t="s">
        <v>162</v>
      </c>
      <c r="L74">
        <f t="shared" si="12"/>
        <v>20.017171717171717</v>
      </c>
      <c r="M74" t="s">
        <v>21</v>
      </c>
      <c r="N74">
        <f t="shared" si="13"/>
        <v>17669.98139562353</v>
      </c>
      <c r="O74">
        <f t="shared" si="5"/>
        <v>882.74116070380455</v>
      </c>
    </row>
    <row r="75" spans="1:15" x14ac:dyDescent="0.25">
      <c r="A75">
        <v>8</v>
      </c>
      <c r="B75" t="s">
        <v>238</v>
      </c>
      <c r="C75">
        <v>1017</v>
      </c>
      <c r="D75">
        <v>341.29599999999999</v>
      </c>
      <c r="E75">
        <v>347098</v>
      </c>
      <c r="F75">
        <v>312</v>
      </c>
      <c r="G75">
        <v>347098</v>
      </c>
      <c r="H75">
        <v>125.873</v>
      </c>
      <c r="I75" t="s">
        <v>87</v>
      </c>
      <c r="J75" t="s">
        <v>27</v>
      </c>
      <c r="K75" t="s">
        <v>162</v>
      </c>
      <c r="L75">
        <f t="shared" si="12"/>
        <v>25.428888888888888</v>
      </c>
      <c r="M75" t="s">
        <v>21</v>
      </c>
      <c r="N75">
        <f t="shared" si="13"/>
        <v>60495.218031568045</v>
      </c>
      <c r="O75">
        <f t="shared" si="5"/>
        <v>2378.995727886535</v>
      </c>
    </row>
    <row r="76" spans="1:15" x14ac:dyDescent="0.25">
      <c r="A76">
        <v>9</v>
      </c>
      <c r="B76" t="s">
        <v>239</v>
      </c>
      <c r="C76">
        <v>1221</v>
      </c>
      <c r="D76">
        <v>281.94299999999998</v>
      </c>
      <c r="E76">
        <v>344252</v>
      </c>
      <c r="F76">
        <v>282</v>
      </c>
      <c r="G76">
        <v>344252</v>
      </c>
      <c r="H76">
        <v>150.97999999999999</v>
      </c>
      <c r="I76" t="s">
        <v>124</v>
      </c>
      <c r="K76" t="s">
        <v>162</v>
      </c>
      <c r="L76">
        <f t="shared" si="12"/>
        <v>30.501010101010099</v>
      </c>
      <c r="M76" t="s">
        <v>21</v>
      </c>
      <c r="O76">
        <f t="shared" si="5"/>
        <v>0</v>
      </c>
    </row>
    <row r="77" spans="1:15" x14ac:dyDescent="0.25">
      <c r="A77">
        <v>10</v>
      </c>
      <c r="B77" t="s">
        <v>240</v>
      </c>
      <c r="C77">
        <v>1324</v>
      </c>
      <c r="D77">
        <v>281.71699999999998</v>
      </c>
      <c r="E77">
        <v>372993</v>
      </c>
      <c r="F77">
        <v>282</v>
      </c>
      <c r="G77">
        <v>372993</v>
      </c>
      <c r="H77">
        <v>164.86799999999999</v>
      </c>
      <c r="I77" t="s">
        <v>124</v>
      </c>
      <c r="K77" t="s">
        <v>162</v>
      </c>
      <c r="L77">
        <f t="shared" si="12"/>
        <v>33.306666666666665</v>
      </c>
      <c r="M77" t="s">
        <v>21</v>
      </c>
      <c r="O77">
        <f t="shared" ref="O77:O140" si="14">N77/L77</f>
        <v>0</v>
      </c>
    </row>
    <row r="78" spans="1:15" x14ac:dyDescent="0.25">
      <c r="A78">
        <v>11</v>
      </c>
      <c r="B78" t="s">
        <v>241</v>
      </c>
      <c r="C78">
        <v>1302</v>
      </c>
      <c r="D78">
        <v>281.77600000000001</v>
      </c>
      <c r="E78">
        <v>366873</v>
      </c>
      <c r="F78">
        <v>282</v>
      </c>
      <c r="G78">
        <v>366873</v>
      </c>
      <c r="H78">
        <v>161.667</v>
      </c>
      <c r="I78" t="s">
        <v>124</v>
      </c>
      <c r="K78" t="s">
        <v>162</v>
      </c>
      <c r="L78">
        <f t="shared" si="12"/>
        <v>32.659999999999997</v>
      </c>
      <c r="M78" t="s">
        <v>21</v>
      </c>
      <c r="O78">
        <f t="shared" si="14"/>
        <v>0</v>
      </c>
    </row>
    <row r="79" spans="1:15" x14ac:dyDescent="0.25">
      <c r="A79">
        <v>1</v>
      </c>
      <c r="B79" t="s">
        <v>242</v>
      </c>
      <c r="C79">
        <v>840</v>
      </c>
      <c r="D79">
        <v>313.08600000000001</v>
      </c>
      <c r="E79">
        <v>262992</v>
      </c>
      <c r="F79">
        <v>296</v>
      </c>
      <c r="G79">
        <v>262992</v>
      </c>
      <c r="H79">
        <v>104.16800000000001</v>
      </c>
      <c r="I79" t="s">
        <v>48</v>
      </c>
      <c r="J79" t="s">
        <v>27</v>
      </c>
      <c r="K79" t="s">
        <v>162</v>
      </c>
      <c r="L79">
        <f t="shared" si="12"/>
        <v>21.044040404040405</v>
      </c>
      <c r="M79" t="s">
        <v>22</v>
      </c>
      <c r="N79">
        <f>G79-(((G$87/C$87*C79)+(G$88/C$88*C79)+(G$89/C$89*C79))/3)</f>
        <v>25428.051034205593</v>
      </c>
      <c r="O79">
        <f t="shared" si="14"/>
        <v>1208.3255185788119</v>
      </c>
    </row>
    <row r="80" spans="1:15" x14ac:dyDescent="0.25">
      <c r="A80">
        <v>2</v>
      </c>
      <c r="B80" t="s">
        <v>243</v>
      </c>
      <c r="C80">
        <v>1233</v>
      </c>
      <c r="D80">
        <v>348.81599999999997</v>
      </c>
      <c r="E80">
        <v>430090</v>
      </c>
      <c r="F80">
        <v>319</v>
      </c>
      <c r="G80">
        <v>430090</v>
      </c>
      <c r="H80">
        <v>153.15199999999999</v>
      </c>
      <c r="I80" t="s">
        <v>88</v>
      </c>
      <c r="J80" t="s">
        <v>27</v>
      </c>
      <c r="K80" t="s">
        <v>162</v>
      </c>
      <c r="L80">
        <f t="shared" si="12"/>
        <v>30.939797979797977</v>
      </c>
      <c r="M80" t="s">
        <v>22</v>
      </c>
      <c r="N80">
        <f t="shared" ref="N80:N86" si="15">G80-(((G$87/C$87*C80)+(G$88/C$88*C80)+(G$89/C$89*C80))/3)</f>
        <v>81380.060625208891</v>
      </c>
      <c r="O80">
        <f t="shared" si="14"/>
        <v>2630.2712344258257</v>
      </c>
    </row>
    <row r="81" spans="1:15" x14ac:dyDescent="0.25">
      <c r="A81">
        <v>3</v>
      </c>
      <c r="B81" t="s">
        <v>244</v>
      </c>
      <c r="C81">
        <v>936</v>
      </c>
      <c r="D81">
        <v>317.41300000000001</v>
      </c>
      <c r="E81">
        <v>297099</v>
      </c>
      <c r="F81">
        <v>303</v>
      </c>
      <c r="G81">
        <v>297099</v>
      </c>
      <c r="H81">
        <v>116.042</v>
      </c>
      <c r="I81" t="s">
        <v>89</v>
      </c>
      <c r="J81" t="s">
        <v>27</v>
      </c>
      <c r="K81" t="s">
        <v>162</v>
      </c>
      <c r="L81">
        <f t="shared" si="12"/>
        <v>23.442828282828284</v>
      </c>
      <c r="M81" t="s">
        <v>22</v>
      </c>
      <c r="N81">
        <f t="shared" si="15"/>
        <v>32384.885438114812</v>
      </c>
      <c r="O81">
        <f t="shared" si="14"/>
        <v>1381.4410551237338</v>
      </c>
    </row>
    <row r="82" spans="1:15" x14ac:dyDescent="0.25">
      <c r="A82">
        <v>4</v>
      </c>
      <c r="B82" t="s">
        <v>245</v>
      </c>
      <c r="C82">
        <v>901</v>
      </c>
      <c r="D82">
        <v>340.18200000000002</v>
      </c>
      <c r="E82">
        <v>306504</v>
      </c>
      <c r="F82">
        <v>315</v>
      </c>
      <c r="G82">
        <v>306504</v>
      </c>
      <c r="H82">
        <v>111.327</v>
      </c>
      <c r="I82" t="s">
        <v>90</v>
      </c>
      <c r="J82" t="s">
        <v>27</v>
      </c>
      <c r="K82" t="s">
        <v>162</v>
      </c>
      <c r="L82">
        <f t="shared" si="12"/>
        <v>22.490303030303028</v>
      </c>
      <c r="M82" t="s">
        <v>22</v>
      </c>
      <c r="N82">
        <f t="shared" si="15"/>
        <v>51688.383311689569</v>
      </c>
      <c r="O82">
        <f t="shared" si="14"/>
        <v>2298.2519729523242</v>
      </c>
    </row>
    <row r="83" spans="1:15" x14ac:dyDescent="0.25">
      <c r="A83">
        <v>5</v>
      </c>
      <c r="B83" t="s">
        <v>246</v>
      </c>
      <c r="C83">
        <v>767</v>
      </c>
      <c r="D83">
        <v>286.09800000000001</v>
      </c>
      <c r="E83">
        <v>219437</v>
      </c>
      <c r="F83">
        <v>285</v>
      </c>
      <c r="G83">
        <v>219437</v>
      </c>
      <c r="H83">
        <v>95.108000000000004</v>
      </c>
      <c r="I83" t="s">
        <v>91</v>
      </c>
      <c r="J83" t="s">
        <v>27</v>
      </c>
      <c r="K83" t="s">
        <v>162</v>
      </c>
      <c r="L83">
        <f t="shared" si="12"/>
        <v>19.213737373737374</v>
      </c>
      <c r="M83" t="s">
        <v>22</v>
      </c>
      <c r="N83">
        <f t="shared" si="15"/>
        <v>2518.4894562329573</v>
      </c>
      <c r="O83">
        <f t="shared" si="14"/>
        <v>131.07754140927301</v>
      </c>
    </row>
    <row r="84" spans="1:15" x14ac:dyDescent="0.25">
      <c r="A84">
        <v>6</v>
      </c>
      <c r="B84" t="s">
        <v>247</v>
      </c>
      <c r="C84">
        <v>859</v>
      </c>
      <c r="D84">
        <v>301.65800000000002</v>
      </c>
      <c r="E84">
        <v>259124</v>
      </c>
      <c r="F84">
        <v>292</v>
      </c>
      <c r="G84">
        <v>259124</v>
      </c>
      <c r="H84">
        <v>106.15600000000001</v>
      </c>
      <c r="I84" t="s">
        <v>92</v>
      </c>
      <c r="J84" t="s">
        <v>27</v>
      </c>
      <c r="K84" t="s">
        <v>162</v>
      </c>
      <c r="L84">
        <f t="shared" si="12"/>
        <v>21.445656565656567</v>
      </c>
      <c r="M84" t="s">
        <v>22</v>
      </c>
      <c r="N84">
        <f t="shared" si="15"/>
        <v>16186.580759979319</v>
      </c>
      <c r="O84">
        <f t="shared" si="14"/>
        <v>754.77198426747077</v>
      </c>
    </row>
    <row r="85" spans="1:15" x14ac:dyDescent="0.25">
      <c r="A85">
        <v>7</v>
      </c>
      <c r="B85" t="s">
        <v>248</v>
      </c>
      <c r="C85">
        <v>1024</v>
      </c>
      <c r="D85">
        <v>296.15100000000001</v>
      </c>
      <c r="E85">
        <v>303259</v>
      </c>
      <c r="F85">
        <v>290</v>
      </c>
      <c r="G85">
        <v>303259</v>
      </c>
      <c r="H85">
        <v>126.15300000000001</v>
      </c>
      <c r="I85" t="s">
        <v>93</v>
      </c>
      <c r="J85" t="s">
        <v>27</v>
      </c>
      <c r="K85" t="s">
        <v>162</v>
      </c>
      <c r="L85">
        <f t="shared" si="12"/>
        <v>25.485454545454544</v>
      </c>
      <c r="M85" t="s">
        <v>22</v>
      </c>
      <c r="N85">
        <f t="shared" si="15"/>
        <v>13657.233641698258</v>
      </c>
      <c r="O85">
        <f t="shared" si="14"/>
        <v>535.88346314718149</v>
      </c>
    </row>
    <row r="86" spans="1:15" x14ac:dyDescent="0.25">
      <c r="A86">
        <v>8</v>
      </c>
      <c r="B86" t="s">
        <v>249</v>
      </c>
      <c r="C86">
        <v>1173</v>
      </c>
      <c r="D86">
        <v>323.976</v>
      </c>
      <c r="E86">
        <v>380024</v>
      </c>
      <c r="F86">
        <v>296</v>
      </c>
      <c r="G86">
        <v>380024</v>
      </c>
      <c r="H86">
        <v>145.447</v>
      </c>
      <c r="I86" t="s">
        <v>94</v>
      </c>
      <c r="J86" t="s">
        <v>27</v>
      </c>
      <c r="K86" t="s">
        <v>162</v>
      </c>
      <c r="L86">
        <f t="shared" si="12"/>
        <v>29.383232323232324</v>
      </c>
      <c r="M86" t="s">
        <v>22</v>
      </c>
      <c r="N86">
        <f t="shared" si="15"/>
        <v>48282.914122765651</v>
      </c>
      <c r="O86">
        <f t="shared" si="14"/>
        <v>1643.2131629231951</v>
      </c>
    </row>
    <row r="87" spans="1:15" x14ac:dyDescent="0.25">
      <c r="A87">
        <v>9</v>
      </c>
      <c r="B87" t="s">
        <v>250</v>
      </c>
      <c r="C87">
        <v>1212</v>
      </c>
      <c r="D87">
        <v>282.97699999999998</v>
      </c>
      <c r="E87">
        <v>342968</v>
      </c>
      <c r="F87">
        <v>283</v>
      </c>
      <c r="G87">
        <v>342968</v>
      </c>
      <c r="H87">
        <v>150.22300000000001</v>
      </c>
      <c r="I87" t="s">
        <v>124</v>
      </c>
      <c r="K87" t="s">
        <v>162</v>
      </c>
      <c r="L87">
        <f t="shared" si="12"/>
        <v>30.348080808080809</v>
      </c>
      <c r="M87" t="s">
        <v>22</v>
      </c>
      <c r="O87">
        <f t="shared" si="14"/>
        <v>0</v>
      </c>
    </row>
    <row r="88" spans="1:15" x14ac:dyDescent="0.25">
      <c r="A88">
        <v>10</v>
      </c>
      <c r="B88" t="s">
        <v>251</v>
      </c>
      <c r="C88">
        <v>1330</v>
      </c>
      <c r="D88">
        <v>282.678</v>
      </c>
      <c r="E88">
        <v>375962</v>
      </c>
      <c r="F88">
        <v>283</v>
      </c>
      <c r="G88">
        <v>375962</v>
      </c>
      <c r="H88">
        <v>165.114</v>
      </c>
      <c r="I88" t="s">
        <v>124</v>
      </c>
      <c r="K88" t="s">
        <v>162</v>
      </c>
      <c r="L88">
        <f t="shared" si="12"/>
        <v>33.356363636363639</v>
      </c>
      <c r="M88" t="s">
        <v>22</v>
      </c>
      <c r="O88">
        <f t="shared" si="14"/>
        <v>0</v>
      </c>
    </row>
    <row r="89" spans="1:15" x14ac:dyDescent="0.25">
      <c r="A89">
        <v>11</v>
      </c>
      <c r="B89" t="s">
        <v>252</v>
      </c>
      <c r="C89">
        <v>1224</v>
      </c>
      <c r="D89">
        <v>282.78800000000001</v>
      </c>
      <c r="E89">
        <v>346132</v>
      </c>
      <c r="F89">
        <v>283</v>
      </c>
      <c r="G89">
        <v>346132</v>
      </c>
      <c r="H89">
        <v>151.916</v>
      </c>
      <c r="I89" t="s">
        <v>124</v>
      </c>
      <c r="K89" t="s">
        <v>162</v>
      </c>
      <c r="L89">
        <f t="shared" si="12"/>
        <v>30.69010101010101</v>
      </c>
      <c r="M89" t="s">
        <v>22</v>
      </c>
      <c r="O89">
        <f t="shared" si="14"/>
        <v>0</v>
      </c>
    </row>
    <row r="90" spans="1:15" x14ac:dyDescent="0.25">
      <c r="A90">
        <v>1</v>
      </c>
      <c r="B90" t="s">
        <v>253</v>
      </c>
      <c r="C90">
        <v>1247</v>
      </c>
      <c r="D90">
        <v>313.48899999999998</v>
      </c>
      <c r="E90">
        <v>390921</v>
      </c>
      <c r="F90">
        <v>293</v>
      </c>
      <c r="G90">
        <v>390921</v>
      </c>
      <c r="H90">
        <v>154.977</v>
      </c>
      <c r="I90" t="s">
        <v>95</v>
      </c>
      <c r="J90" t="s">
        <v>27</v>
      </c>
      <c r="K90" t="s">
        <v>163</v>
      </c>
      <c r="L90">
        <f t="shared" si="12"/>
        <v>31.308484848484849</v>
      </c>
      <c r="M90" t="s">
        <v>23</v>
      </c>
      <c r="N90">
        <f>G90-(((G$98/C$98*C90)+(G$99/C$99*C90)+(G$100/C$100*C90))/3)</f>
        <v>38212.147474504134</v>
      </c>
      <c r="O90">
        <f t="shared" si="14"/>
        <v>1220.5045264703501</v>
      </c>
    </row>
    <row r="91" spans="1:15" x14ac:dyDescent="0.25">
      <c r="A91">
        <v>2</v>
      </c>
      <c r="B91" t="s">
        <v>254</v>
      </c>
      <c r="C91">
        <v>1087</v>
      </c>
      <c r="D91">
        <v>296.108</v>
      </c>
      <c r="E91">
        <v>321869</v>
      </c>
      <c r="F91">
        <v>287</v>
      </c>
      <c r="G91">
        <v>321869</v>
      </c>
      <c r="H91">
        <v>134.876</v>
      </c>
      <c r="I91" t="s">
        <v>96</v>
      </c>
      <c r="J91" t="s">
        <v>27</v>
      </c>
      <c r="K91" t="s">
        <v>163</v>
      </c>
      <c r="L91">
        <f t="shared" si="12"/>
        <v>27.247676767676769</v>
      </c>
      <c r="M91" t="s">
        <v>23</v>
      </c>
      <c r="N91">
        <f t="shared" ref="N91:N97" si="16">G91-(((G$98/C$98*C91)+(G$99/C$99*C91)+(G$100/C$100*C91))/3)</f>
        <v>14415.493428056187</v>
      </c>
      <c r="O91">
        <f t="shared" si="14"/>
        <v>529.05403829352974</v>
      </c>
    </row>
    <row r="92" spans="1:15" x14ac:dyDescent="0.25">
      <c r="A92">
        <v>3</v>
      </c>
      <c r="B92" t="s">
        <v>255</v>
      </c>
      <c r="C92">
        <v>989</v>
      </c>
      <c r="D92">
        <v>297.024</v>
      </c>
      <c r="E92">
        <v>293757</v>
      </c>
      <c r="F92">
        <v>286</v>
      </c>
      <c r="G92">
        <v>293757</v>
      </c>
      <c r="H92">
        <v>122.703</v>
      </c>
      <c r="I92" t="s">
        <v>49</v>
      </c>
      <c r="J92" t="s">
        <v>27</v>
      </c>
      <c r="K92" t="s">
        <v>163</v>
      </c>
      <c r="L92">
        <f t="shared" si="12"/>
        <v>24.788484848484849</v>
      </c>
      <c r="M92" t="s">
        <v>23</v>
      </c>
      <c r="N92">
        <f t="shared" si="16"/>
        <v>14022.392824606737</v>
      </c>
      <c r="O92">
        <f t="shared" si="14"/>
        <v>565.68172319994903</v>
      </c>
    </row>
    <row r="93" spans="1:15" x14ac:dyDescent="0.25">
      <c r="A93">
        <v>4</v>
      </c>
      <c r="B93" t="s">
        <v>256</v>
      </c>
      <c r="C93">
        <v>926</v>
      </c>
      <c r="D93">
        <v>294.82400000000001</v>
      </c>
      <c r="E93">
        <v>273007</v>
      </c>
      <c r="F93">
        <v>288</v>
      </c>
      <c r="G93">
        <v>273007</v>
      </c>
      <c r="H93">
        <v>114.524</v>
      </c>
      <c r="I93" t="s">
        <v>97</v>
      </c>
      <c r="J93" t="s">
        <v>27</v>
      </c>
      <c r="K93" t="s">
        <v>163</v>
      </c>
      <c r="L93">
        <f t="shared" si="12"/>
        <v>23.136161616161615</v>
      </c>
      <c r="M93" t="s">
        <v>23</v>
      </c>
      <c r="N93">
        <f t="shared" si="16"/>
        <v>11091.685293817893</v>
      </c>
      <c r="O93">
        <f t="shared" si="14"/>
        <v>479.40905141628451</v>
      </c>
    </row>
    <row r="94" spans="1:15" x14ac:dyDescent="0.25">
      <c r="A94">
        <v>5</v>
      </c>
      <c r="B94" t="s">
        <v>257</v>
      </c>
      <c r="C94">
        <v>867</v>
      </c>
      <c r="D94">
        <v>284.71300000000002</v>
      </c>
      <c r="E94">
        <v>246846</v>
      </c>
      <c r="F94">
        <v>284</v>
      </c>
      <c r="G94">
        <v>246846</v>
      </c>
      <c r="H94">
        <v>107.657</v>
      </c>
      <c r="I94" t="s">
        <v>98</v>
      </c>
      <c r="J94" t="s">
        <v>27</v>
      </c>
      <c r="K94" t="s">
        <v>163</v>
      </c>
      <c r="L94">
        <f t="shared" si="12"/>
        <v>21.748888888888889</v>
      </c>
      <c r="M94" t="s">
        <v>23</v>
      </c>
      <c r="N94">
        <f t="shared" si="16"/>
        <v>1618.5941141901712</v>
      </c>
      <c r="O94">
        <f t="shared" si="14"/>
        <v>74.421922078836928</v>
      </c>
    </row>
    <row r="95" spans="1:15" x14ac:dyDescent="0.25">
      <c r="A95">
        <v>6</v>
      </c>
      <c r="B95" t="s">
        <v>258</v>
      </c>
      <c r="C95">
        <v>1230</v>
      </c>
      <c r="D95">
        <v>305.23599999999999</v>
      </c>
      <c r="E95">
        <v>375440</v>
      </c>
      <c r="F95">
        <v>291</v>
      </c>
      <c r="G95">
        <v>375440</v>
      </c>
      <c r="H95">
        <v>152.77799999999999</v>
      </c>
      <c r="I95" t="s">
        <v>99</v>
      </c>
      <c r="J95" t="s">
        <v>27</v>
      </c>
      <c r="K95" t="s">
        <v>163</v>
      </c>
      <c r="L95">
        <f t="shared" si="12"/>
        <v>30.86424242424242</v>
      </c>
      <c r="M95" t="s">
        <v>23</v>
      </c>
      <c r="N95">
        <f t="shared" si="16"/>
        <v>27539.527982069063</v>
      </c>
      <c r="O95">
        <f t="shared" si="14"/>
        <v>892.27940875807963</v>
      </c>
    </row>
    <row r="96" spans="1:15" x14ac:dyDescent="0.25">
      <c r="A96">
        <v>7</v>
      </c>
      <c r="B96" t="s">
        <v>259</v>
      </c>
      <c r="C96">
        <v>871</v>
      </c>
      <c r="D96">
        <v>294.887</v>
      </c>
      <c r="E96">
        <v>256847</v>
      </c>
      <c r="F96">
        <v>288</v>
      </c>
      <c r="G96">
        <v>256847</v>
      </c>
      <c r="H96">
        <v>107.944</v>
      </c>
      <c r="I96" t="s">
        <v>100</v>
      </c>
      <c r="J96" t="s">
        <v>27</v>
      </c>
      <c r="K96" t="s">
        <v>163</v>
      </c>
      <c r="L96">
        <f t="shared" si="12"/>
        <v>21.806868686868686</v>
      </c>
      <c r="M96" t="s">
        <v>23</v>
      </c>
      <c r="N96">
        <f t="shared" si="16"/>
        <v>10488.210465351352</v>
      </c>
      <c r="O96">
        <f t="shared" si="14"/>
        <v>480.95903249360038</v>
      </c>
    </row>
    <row r="97" spans="1:15" x14ac:dyDescent="0.25">
      <c r="A97">
        <v>8</v>
      </c>
      <c r="B97" t="s">
        <v>260</v>
      </c>
      <c r="C97">
        <v>1083</v>
      </c>
      <c r="D97">
        <v>301.91699999999997</v>
      </c>
      <c r="E97">
        <v>326976</v>
      </c>
      <c r="F97">
        <v>291</v>
      </c>
      <c r="G97">
        <v>326976</v>
      </c>
      <c r="H97">
        <v>134.09100000000001</v>
      </c>
      <c r="I97" t="s">
        <v>101</v>
      </c>
      <c r="J97" t="s">
        <v>27</v>
      </c>
      <c r="K97" t="s">
        <v>163</v>
      </c>
      <c r="L97">
        <f t="shared" si="12"/>
        <v>27.08909090909091</v>
      </c>
      <c r="M97" t="s">
        <v>23</v>
      </c>
      <c r="N97">
        <f t="shared" si="16"/>
        <v>20653.877076894976</v>
      </c>
      <c r="O97">
        <f t="shared" si="14"/>
        <v>762.44260636903391</v>
      </c>
    </row>
    <row r="98" spans="1:15" x14ac:dyDescent="0.25">
      <c r="A98">
        <v>9</v>
      </c>
      <c r="B98" t="s">
        <v>261</v>
      </c>
      <c r="C98">
        <v>1177</v>
      </c>
      <c r="D98">
        <v>283.07900000000001</v>
      </c>
      <c r="E98">
        <v>333184</v>
      </c>
      <c r="F98">
        <v>283</v>
      </c>
      <c r="G98">
        <v>333184</v>
      </c>
      <c r="H98">
        <v>146.291</v>
      </c>
      <c r="I98" t="s">
        <v>124</v>
      </c>
      <c r="K98" t="s">
        <v>163</v>
      </c>
      <c r="L98">
        <f t="shared" si="12"/>
        <v>29.553737373737373</v>
      </c>
      <c r="M98" t="s">
        <v>23</v>
      </c>
      <c r="O98">
        <f t="shared" si="14"/>
        <v>0</v>
      </c>
    </row>
    <row r="99" spans="1:15" x14ac:dyDescent="0.25">
      <c r="A99">
        <v>10</v>
      </c>
      <c r="B99" t="s">
        <v>262</v>
      </c>
      <c r="C99">
        <v>1061</v>
      </c>
      <c r="D99">
        <v>282.68900000000002</v>
      </c>
      <c r="E99">
        <v>299933</v>
      </c>
      <c r="F99">
        <v>283</v>
      </c>
      <c r="G99">
        <v>299933</v>
      </c>
      <c r="H99">
        <v>131.57499999999999</v>
      </c>
      <c r="I99" t="s">
        <v>124</v>
      </c>
      <c r="K99" t="s">
        <v>163</v>
      </c>
      <c r="L99">
        <f t="shared" si="12"/>
        <v>26.580808080808076</v>
      </c>
      <c r="M99" t="s">
        <v>23</v>
      </c>
      <c r="O99">
        <f t="shared" si="14"/>
        <v>0</v>
      </c>
    </row>
    <row r="100" spans="1:15" x14ac:dyDescent="0.25">
      <c r="A100">
        <v>11</v>
      </c>
      <c r="B100" t="s">
        <v>263</v>
      </c>
      <c r="C100">
        <v>1038</v>
      </c>
      <c r="D100">
        <v>282.77</v>
      </c>
      <c r="E100">
        <v>293515</v>
      </c>
      <c r="F100">
        <v>283</v>
      </c>
      <c r="G100">
        <v>293515</v>
      </c>
      <c r="H100">
        <v>128.34</v>
      </c>
      <c r="I100" t="s">
        <v>124</v>
      </c>
      <c r="K100" t="s">
        <v>163</v>
      </c>
      <c r="L100">
        <f t="shared" si="12"/>
        <v>25.927272727272726</v>
      </c>
      <c r="M100" t="s">
        <v>23</v>
      </c>
      <c r="O100">
        <f t="shared" si="14"/>
        <v>0</v>
      </c>
    </row>
    <row r="101" spans="1:15" x14ac:dyDescent="0.25">
      <c r="A101">
        <v>1</v>
      </c>
      <c r="B101" t="s">
        <v>264</v>
      </c>
      <c r="C101">
        <v>1041</v>
      </c>
      <c r="D101">
        <v>314.71899999999999</v>
      </c>
      <c r="E101">
        <v>327622</v>
      </c>
      <c r="F101">
        <v>296</v>
      </c>
      <c r="G101">
        <v>327622</v>
      </c>
      <c r="H101">
        <v>129.191</v>
      </c>
      <c r="I101" t="s">
        <v>102</v>
      </c>
      <c r="J101" t="s">
        <v>27</v>
      </c>
      <c r="K101" t="s">
        <v>163</v>
      </c>
      <c r="L101">
        <f t="shared" si="12"/>
        <v>26.09919191919192</v>
      </c>
      <c r="M101" t="s">
        <v>24</v>
      </c>
      <c r="N101">
        <f>G101-(((G$109/C$109*C101)+(G$110/C$110*C101)+(G$111/C$111*C101))/3)</f>
        <v>32707.980506073858</v>
      </c>
      <c r="O101">
        <f t="shared" si="14"/>
        <v>1253.218130559138</v>
      </c>
    </row>
    <row r="102" spans="1:15" x14ac:dyDescent="0.25">
      <c r="A102">
        <v>2</v>
      </c>
      <c r="B102" t="s">
        <v>265</v>
      </c>
      <c r="C102">
        <v>1258</v>
      </c>
      <c r="D102">
        <v>322.279</v>
      </c>
      <c r="E102">
        <v>405427</v>
      </c>
      <c r="F102">
        <v>298</v>
      </c>
      <c r="G102">
        <v>405427</v>
      </c>
      <c r="H102">
        <v>156.21899999999999</v>
      </c>
      <c r="I102" t="s">
        <v>103</v>
      </c>
      <c r="J102" t="s">
        <v>27</v>
      </c>
      <c r="K102" t="s">
        <v>163</v>
      </c>
      <c r="L102">
        <f t="shared" si="12"/>
        <v>31.559393939393939</v>
      </c>
      <c r="M102" t="s">
        <v>24</v>
      </c>
      <c r="N102">
        <f t="shared" ref="N102:N108" si="17">G102-(((G$109/C$109*C102)+(G$110/C$110*C102)+(G$111/C$111*C102))/3)</f>
        <v>49037.147431931691</v>
      </c>
      <c r="O102">
        <f t="shared" si="14"/>
        <v>1553.8051055765425</v>
      </c>
    </row>
    <row r="103" spans="1:15" x14ac:dyDescent="0.25">
      <c r="A103">
        <v>3</v>
      </c>
      <c r="B103" t="s">
        <v>266</v>
      </c>
      <c r="C103">
        <v>1016</v>
      </c>
      <c r="D103">
        <v>294.483</v>
      </c>
      <c r="E103">
        <v>299195</v>
      </c>
      <c r="F103">
        <v>288</v>
      </c>
      <c r="G103">
        <v>299195</v>
      </c>
      <c r="H103">
        <v>126.196</v>
      </c>
      <c r="I103" t="s">
        <v>104</v>
      </c>
      <c r="J103" t="s">
        <v>27</v>
      </c>
      <c r="K103" t="s">
        <v>163</v>
      </c>
      <c r="L103">
        <f t="shared" si="12"/>
        <v>25.494141414141414</v>
      </c>
      <c r="M103" t="s">
        <v>24</v>
      </c>
      <c r="N103">
        <f t="shared" si="17"/>
        <v>11363.449754246918</v>
      </c>
      <c r="O103">
        <f t="shared" si="14"/>
        <v>445.72788585630485</v>
      </c>
    </row>
    <row r="104" spans="1:15" x14ac:dyDescent="0.25">
      <c r="A104">
        <v>4</v>
      </c>
      <c r="B104" t="s">
        <v>267</v>
      </c>
      <c r="C104">
        <v>1088</v>
      </c>
      <c r="D104">
        <v>309.83800000000002</v>
      </c>
      <c r="E104">
        <v>337104</v>
      </c>
      <c r="F104">
        <v>296</v>
      </c>
      <c r="G104">
        <v>337104</v>
      </c>
      <c r="H104">
        <v>135.369</v>
      </c>
      <c r="I104" t="s">
        <v>105</v>
      </c>
      <c r="J104" t="s">
        <v>27</v>
      </c>
      <c r="K104" t="s">
        <v>163</v>
      </c>
      <c r="L104">
        <f t="shared" si="12"/>
        <v>27.347272727272728</v>
      </c>
      <c r="M104" t="s">
        <v>24</v>
      </c>
      <c r="N104">
        <f t="shared" si="17"/>
        <v>28874.938319508452</v>
      </c>
      <c r="O104">
        <f t="shared" si="14"/>
        <v>1055.8617163572667</v>
      </c>
    </row>
    <row r="105" spans="1:15" x14ac:dyDescent="0.25">
      <c r="A105">
        <v>5</v>
      </c>
      <c r="B105" t="s">
        <v>268</v>
      </c>
      <c r="C105">
        <v>1079</v>
      </c>
      <c r="D105">
        <v>311.60899999999998</v>
      </c>
      <c r="E105">
        <v>336226</v>
      </c>
      <c r="F105">
        <v>295</v>
      </c>
      <c r="G105">
        <v>336226</v>
      </c>
      <c r="H105">
        <v>133.92099999999999</v>
      </c>
      <c r="I105" t="s">
        <v>50</v>
      </c>
      <c r="J105" t="s">
        <v>27</v>
      </c>
      <c r="K105" t="s">
        <v>163</v>
      </c>
      <c r="L105">
        <f t="shared" si="12"/>
        <v>27.054747474747472</v>
      </c>
      <c r="M105" t="s">
        <v>24</v>
      </c>
      <c r="N105">
        <f t="shared" si="17"/>
        <v>30546.627248850826</v>
      </c>
      <c r="O105">
        <f t="shared" si="14"/>
        <v>1129.0671730483764</v>
      </c>
    </row>
    <row r="106" spans="1:15" x14ac:dyDescent="0.25">
      <c r="A106">
        <v>6</v>
      </c>
      <c r="B106" t="s">
        <v>269</v>
      </c>
      <c r="C106">
        <v>1078</v>
      </c>
      <c r="D106">
        <v>309.15899999999999</v>
      </c>
      <c r="E106">
        <v>333273</v>
      </c>
      <c r="F106">
        <v>293</v>
      </c>
      <c r="G106">
        <v>333273</v>
      </c>
      <c r="H106">
        <v>134.102</v>
      </c>
      <c r="I106" t="s">
        <v>106</v>
      </c>
      <c r="J106" t="s">
        <v>27</v>
      </c>
      <c r="K106" t="s">
        <v>163</v>
      </c>
      <c r="L106">
        <f t="shared" si="12"/>
        <v>27.091313131313132</v>
      </c>
      <c r="M106" t="s">
        <v>24</v>
      </c>
      <c r="N106">
        <f t="shared" si="17"/>
        <v>27876.926018777711</v>
      </c>
      <c r="O106">
        <f t="shared" si="14"/>
        <v>1028.9987009362251</v>
      </c>
    </row>
    <row r="107" spans="1:15" x14ac:dyDescent="0.25">
      <c r="A107">
        <v>7</v>
      </c>
      <c r="B107" t="s">
        <v>270</v>
      </c>
      <c r="C107">
        <v>1237</v>
      </c>
      <c r="D107">
        <v>311.44200000000001</v>
      </c>
      <c r="E107">
        <v>385254</v>
      </c>
      <c r="F107">
        <v>295</v>
      </c>
      <c r="G107">
        <v>385254</v>
      </c>
      <c r="H107">
        <v>153.554</v>
      </c>
      <c r="I107" t="s">
        <v>107</v>
      </c>
      <c r="J107" t="s">
        <v>27</v>
      </c>
      <c r="K107" t="s">
        <v>163</v>
      </c>
      <c r="L107">
        <f t="shared" si="12"/>
        <v>31.021010101010102</v>
      </c>
      <c r="M107" t="s">
        <v>24</v>
      </c>
      <c r="N107">
        <f t="shared" si="17"/>
        <v>34813.421600397036</v>
      </c>
      <c r="O107">
        <f t="shared" si="14"/>
        <v>1122.2529984368061</v>
      </c>
    </row>
    <row r="108" spans="1:15" x14ac:dyDescent="0.25">
      <c r="A108">
        <v>8</v>
      </c>
      <c r="B108" t="s">
        <v>271</v>
      </c>
      <c r="C108">
        <v>978</v>
      </c>
      <c r="D108">
        <v>301.98599999999999</v>
      </c>
      <c r="E108">
        <v>295342</v>
      </c>
      <c r="F108">
        <v>287</v>
      </c>
      <c r="G108">
        <v>295342</v>
      </c>
      <c r="H108">
        <v>122.226</v>
      </c>
      <c r="I108" t="s">
        <v>108</v>
      </c>
      <c r="J108" t="s">
        <v>27</v>
      </c>
      <c r="K108" t="s">
        <v>163</v>
      </c>
      <c r="L108">
        <f t="shared" si="12"/>
        <v>24.692121212121211</v>
      </c>
      <c r="M108" t="s">
        <v>24</v>
      </c>
      <c r="N108">
        <f t="shared" si="17"/>
        <v>18275.80301146995</v>
      </c>
      <c r="O108">
        <f t="shared" si="14"/>
        <v>740.14714468915167</v>
      </c>
    </row>
    <row r="109" spans="1:15" x14ac:dyDescent="0.25">
      <c r="A109">
        <v>9</v>
      </c>
      <c r="B109" t="s">
        <v>272</v>
      </c>
      <c r="C109">
        <v>1100</v>
      </c>
      <c r="D109">
        <v>283.43200000000002</v>
      </c>
      <c r="E109">
        <v>311775</v>
      </c>
      <c r="F109">
        <v>283</v>
      </c>
      <c r="G109">
        <v>311775</v>
      </c>
      <c r="H109">
        <v>136.876</v>
      </c>
      <c r="I109" t="s">
        <v>124</v>
      </c>
      <c r="K109" t="s">
        <v>163</v>
      </c>
      <c r="L109">
        <f t="shared" si="12"/>
        <v>27.65171717171717</v>
      </c>
      <c r="M109" t="s">
        <v>24</v>
      </c>
      <c r="O109">
        <f t="shared" si="14"/>
        <v>0</v>
      </c>
    </row>
    <row r="110" spans="1:15" x14ac:dyDescent="0.25">
      <c r="A110">
        <v>10</v>
      </c>
      <c r="B110" t="s">
        <v>273</v>
      </c>
      <c r="C110">
        <v>1237</v>
      </c>
      <c r="D110">
        <v>283.27600000000001</v>
      </c>
      <c r="E110">
        <v>350412</v>
      </c>
      <c r="F110">
        <v>283</v>
      </c>
      <c r="G110">
        <v>350412</v>
      </c>
      <c r="H110">
        <v>153.691</v>
      </c>
      <c r="I110" t="s">
        <v>124</v>
      </c>
      <c r="K110" t="s">
        <v>163</v>
      </c>
      <c r="L110">
        <f t="shared" si="12"/>
        <v>31.048686868686868</v>
      </c>
      <c r="M110" t="s">
        <v>24</v>
      </c>
      <c r="O110">
        <f t="shared" si="14"/>
        <v>0</v>
      </c>
    </row>
    <row r="111" spans="1:15" x14ac:dyDescent="0.25">
      <c r="A111">
        <v>11</v>
      </c>
      <c r="B111" t="s">
        <v>274</v>
      </c>
      <c r="C111">
        <v>1038</v>
      </c>
      <c r="D111">
        <v>283.18900000000002</v>
      </c>
      <c r="E111">
        <v>293950</v>
      </c>
      <c r="F111">
        <v>283</v>
      </c>
      <c r="G111">
        <v>293950</v>
      </c>
      <c r="H111">
        <v>128.59100000000001</v>
      </c>
      <c r="I111" t="s">
        <v>124</v>
      </c>
      <c r="K111" t="s">
        <v>163</v>
      </c>
      <c r="L111">
        <f t="shared" si="12"/>
        <v>25.977979797979799</v>
      </c>
      <c r="M111" t="s">
        <v>24</v>
      </c>
      <c r="O111">
        <f t="shared" si="14"/>
        <v>0</v>
      </c>
    </row>
    <row r="112" spans="1:15" x14ac:dyDescent="0.25">
      <c r="A112">
        <v>1</v>
      </c>
      <c r="B112" t="s">
        <v>275</v>
      </c>
      <c r="C112">
        <v>978</v>
      </c>
      <c r="D112">
        <v>298.81799999999998</v>
      </c>
      <c r="E112">
        <v>292244</v>
      </c>
      <c r="F112">
        <v>289</v>
      </c>
      <c r="G112">
        <v>292244</v>
      </c>
      <c r="H112">
        <v>121.49299999999999</v>
      </c>
      <c r="I112" t="s">
        <v>109</v>
      </c>
      <c r="J112" t="s">
        <v>27</v>
      </c>
      <c r="K112" t="s">
        <v>163</v>
      </c>
      <c r="L112">
        <f t="shared" si="12"/>
        <v>24.544040404040402</v>
      </c>
      <c r="M112" t="s">
        <v>25</v>
      </c>
      <c r="N112">
        <f>G112-(((G$120/C$120*C112)+(G$121/C$121*C112)+(G$122/C$122*C112))/3)</f>
        <v>15174.015585555811</v>
      </c>
      <c r="O112">
        <f t="shared" si="14"/>
        <v>618.23625351667397</v>
      </c>
    </row>
    <row r="113" spans="1:15" x14ac:dyDescent="0.25">
      <c r="A113">
        <v>2</v>
      </c>
      <c r="B113" t="s">
        <v>276</v>
      </c>
      <c r="C113">
        <v>1176</v>
      </c>
      <c r="D113">
        <v>317.02</v>
      </c>
      <c r="E113">
        <v>372816</v>
      </c>
      <c r="F113">
        <v>297</v>
      </c>
      <c r="G113">
        <v>372816</v>
      </c>
      <c r="H113">
        <v>146.31899999999999</v>
      </c>
      <c r="I113" t="s">
        <v>110</v>
      </c>
      <c r="J113" t="s">
        <v>27</v>
      </c>
      <c r="K113" t="s">
        <v>163</v>
      </c>
      <c r="L113">
        <f t="shared" si="12"/>
        <v>29.559393939393935</v>
      </c>
      <c r="M113" t="s">
        <v>25</v>
      </c>
      <c r="N113">
        <f t="shared" ref="N113:N119" si="18">G113-(((G$120/C$120*C113)+(G$121/C$121*C113)+(G$122/C$122*C113))/3)</f>
        <v>39652.09236054559</v>
      </c>
      <c r="O113">
        <f t="shared" si="14"/>
        <v>1341.4379348184493</v>
      </c>
    </row>
    <row r="114" spans="1:15" x14ac:dyDescent="0.25">
      <c r="A114">
        <v>3</v>
      </c>
      <c r="B114" t="s">
        <v>277</v>
      </c>
      <c r="C114">
        <v>1072</v>
      </c>
      <c r="D114">
        <v>290.99299999999999</v>
      </c>
      <c r="E114">
        <v>311945</v>
      </c>
      <c r="F114">
        <v>287</v>
      </c>
      <c r="G114">
        <v>311945</v>
      </c>
      <c r="H114">
        <v>133.02099999999999</v>
      </c>
      <c r="I114" t="s">
        <v>111</v>
      </c>
      <c r="J114" t="s">
        <v>27</v>
      </c>
      <c r="K114" t="s">
        <v>163</v>
      </c>
      <c r="L114">
        <f t="shared" si="12"/>
        <v>26.872929292929289</v>
      </c>
      <c r="M114" t="s">
        <v>25</v>
      </c>
      <c r="N114">
        <f t="shared" si="18"/>
        <v>8244.5671858034912</v>
      </c>
      <c r="O114">
        <f t="shared" si="14"/>
        <v>306.7982316305492</v>
      </c>
    </row>
    <row r="115" spans="1:15" x14ac:dyDescent="0.25">
      <c r="A115">
        <v>4</v>
      </c>
      <c r="B115" t="s">
        <v>278</v>
      </c>
      <c r="C115">
        <v>1052</v>
      </c>
      <c r="D115">
        <v>298.90199999999999</v>
      </c>
      <c r="E115">
        <v>314445</v>
      </c>
      <c r="F115">
        <v>290</v>
      </c>
      <c r="G115">
        <v>314445</v>
      </c>
      <c r="H115">
        <v>130.434</v>
      </c>
      <c r="I115" t="s">
        <v>112</v>
      </c>
      <c r="J115" t="s">
        <v>27</v>
      </c>
      <c r="K115" t="s">
        <v>163</v>
      </c>
      <c r="L115">
        <f t="shared" si="12"/>
        <v>26.350303030303028</v>
      </c>
      <c r="M115" t="s">
        <v>25</v>
      </c>
      <c r="N115">
        <f t="shared" si="18"/>
        <v>16410.620036814653</v>
      </c>
      <c r="O115">
        <f t="shared" si="14"/>
        <v>622.7867671177188</v>
      </c>
    </row>
    <row r="116" spans="1:15" x14ac:dyDescent="0.25">
      <c r="A116">
        <v>5</v>
      </c>
      <c r="B116" t="s">
        <v>279</v>
      </c>
      <c r="C116">
        <v>1035</v>
      </c>
      <c r="D116">
        <v>295.93099999999998</v>
      </c>
      <c r="E116">
        <v>306289</v>
      </c>
      <c r="F116">
        <v>289</v>
      </c>
      <c r="G116">
        <v>306289</v>
      </c>
      <c r="H116">
        <v>127.872</v>
      </c>
      <c r="I116" t="s">
        <v>113</v>
      </c>
      <c r="J116" t="s">
        <v>27</v>
      </c>
      <c r="K116" t="s">
        <v>163</v>
      </c>
      <c r="L116">
        <f t="shared" si="12"/>
        <v>25.832727272727272</v>
      </c>
      <c r="M116" t="s">
        <v>25</v>
      </c>
      <c r="N116">
        <f t="shared" si="18"/>
        <v>13070.764960174158</v>
      </c>
      <c r="O116">
        <f t="shared" si="14"/>
        <v>505.97696565989492</v>
      </c>
    </row>
    <row r="117" spans="1:15" x14ac:dyDescent="0.25">
      <c r="A117">
        <v>6</v>
      </c>
      <c r="B117" t="s">
        <v>280</v>
      </c>
      <c r="C117">
        <v>1051</v>
      </c>
      <c r="D117">
        <v>296.11799999999999</v>
      </c>
      <c r="E117">
        <v>311220</v>
      </c>
      <c r="F117">
        <v>288</v>
      </c>
      <c r="G117">
        <v>311220</v>
      </c>
      <c r="H117">
        <v>130.166</v>
      </c>
      <c r="I117" t="s">
        <v>114</v>
      </c>
      <c r="J117" t="s">
        <v>27</v>
      </c>
      <c r="K117" t="s">
        <v>163</v>
      </c>
      <c r="L117">
        <f t="shared" si="12"/>
        <v>26.296161616161616</v>
      </c>
      <c r="M117" t="s">
        <v>25</v>
      </c>
      <c r="N117">
        <f t="shared" si="18"/>
        <v>13468.922679365205</v>
      </c>
      <c r="O117">
        <f t="shared" si="14"/>
        <v>512.20109139758279</v>
      </c>
    </row>
    <row r="118" spans="1:15" x14ac:dyDescent="0.25">
      <c r="A118">
        <v>7</v>
      </c>
      <c r="B118" t="s">
        <v>281</v>
      </c>
      <c r="C118">
        <v>994</v>
      </c>
      <c r="D118">
        <v>301.42399999999998</v>
      </c>
      <c r="E118">
        <v>299615</v>
      </c>
      <c r="F118">
        <v>291</v>
      </c>
      <c r="G118">
        <v>299615</v>
      </c>
      <c r="H118">
        <v>123.083</v>
      </c>
      <c r="I118" t="s">
        <v>51</v>
      </c>
      <c r="J118" t="s">
        <v>27</v>
      </c>
      <c r="K118" t="s">
        <v>163</v>
      </c>
      <c r="L118">
        <f t="shared" si="12"/>
        <v>24.865252525252522</v>
      </c>
      <c r="M118" t="s">
        <v>25</v>
      </c>
      <c r="N118">
        <f t="shared" si="18"/>
        <v>18012.173304746917</v>
      </c>
      <c r="O118">
        <f t="shared" si="14"/>
        <v>724.3913282784564</v>
      </c>
    </row>
    <row r="119" spans="1:15" x14ac:dyDescent="0.25">
      <c r="A119">
        <v>8</v>
      </c>
      <c r="B119" t="s">
        <v>282</v>
      </c>
      <c r="C119">
        <v>1321</v>
      </c>
      <c r="D119">
        <v>313.55700000000002</v>
      </c>
      <c r="E119">
        <v>414209</v>
      </c>
      <c r="F119">
        <v>291</v>
      </c>
      <c r="G119">
        <v>414209</v>
      </c>
      <c r="H119">
        <v>164.09200000000001</v>
      </c>
      <c r="I119" t="s">
        <v>115</v>
      </c>
      <c r="J119" t="s">
        <v>27</v>
      </c>
      <c r="K119" t="s">
        <v>163</v>
      </c>
      <c r="L119">
        <f t="shared" si="12"/>
        <v>33.149898989898993</v>
      </c>
      <c r="M119" t="s">
        <v>25</v>
      </c>
      <c r="N119">
        <f t="shared" si="18"/>
        <v>39966.20919071493</v>
      </c>
      <c r="O119">
        <f t="shared" si="14"/>
        <v>1205.6208437586165</v>
      </c>
    </row>
    <row r="120" spans="1:15" x14ac:dyDescent="0.25">
      <c r="A120">
        <v>9</v>
      </c>
      <c r="B120" t="s">
        <v>283</v>
      </c>
      <c r="C120">
        <v>1124</v>
      </c>
      <c r="D120">
        <v>283.48599999999999</v>
      </c>
      <c r="E120">
        <v>318638</v>
      </c>
      <c r="F120">
        <v>283</v>
      </c>
      <c r="G120">
        <v>318638</v>
      </c>
      <c r="H120">
        <v>139.637</v>
      </c>
      <c r="I120" t="s">
        <v>124</v>
      </c>
      <c r="K120" t="s">
        <v>163</v>
      </c>
      <c r="L120">
        <f t="shared" si="12"/>
        <v>28.20949494949495</v>
      </c>
      <c r="M120" t="s">
        <v>25</v>
      </c>
      <c r="O120">
        <f t="shared" si="14"/>
        <v>0</v>
      </c>
    </row>
    <row r="121" spans="1:15" x14ac:dyDescent="0.25">
      <c r="A121">
        <v>10</v>
      </c>
      <c r="B121" t="s">
        <v>284</v>
      </c>
      <c r="C121">
        <v>1072</v>
      </c>
      <c r="D121">
        <v>283.25400000000002</v>
      </c>
      <c r="E121">
        <v>303648</v>
      </c>
      <c r="F121">
        <v>283</v>
      </c>
      <c r="G121">
        <v>303648</v>
      </c>
      <c r="H121">
        <v>132.66800000000001</v>
      </c>
      <c r="I121" t="s">
        <v>124</v>
      </c>
      <c r="K121" t="s">
        <v>163</v>
      </c>
      <c r="L121">
        <f t="shared" si="12"/>
        <v>26.801616161616163</v>
      </c>
      <c r="M121" t="s">
        <v>25</v>
      </c>
      <c r="O121">
        <f t="shared" si="14"/>
        <v>0</v>
      </c>
    </row>
    <row r="122" spans="1:15" x14ac:dyDescent="0.25">
      <c r="A122">
        <v>11</v>
      </c>
      <c r="B122" t="s">
        <v>285</v>
      </c>
      <c r="C122">
        <v>1039</v>
      </c>
      <c r="D122">
        <v>283.16800000000001</v>
      </c>
      <c r="E122">
        <v>294212</v>
      </c>
      <c r="F122">
        <v>283</v>
      </c>
      <c r="G122">
        <v>294212</v>
      </c>
      <c r="H122">
        <v>128.69</v>
      </c>
      <c r="I122" t="s">
        <v>124</v>
      </c>
      <c r="K122" t="s">
        <v>163</v>
      </c>
      <c r="L122">
        <f t="shared" si="12"/>
        <v>25.997979797979795</v>
      </c>
      <c r="M122" t="s">
        <v>25</v>
      </c>
      <c r="O122">
        <f t="shared" si="14"/>
        <v>0</v>
      </c>
    </row>
    <row r="123" spans="1:15" x14ac:dyDescent="0.25">
      <c r="A123">
        <v>1</v>
      </c>
      <c r="B123" t="s">
        <v>286</v>
      </c>
      <c r="C123">
        <v>1051</v>
      </c>
      <c r="D123">
        <v>291.21600000000001</v>
      </c>
      <c r="E123">
        <v>306068</v>
      </c>
      <c r="F123">
        <v>286</v>
      </c>
      <c r="G123">
        <v>306068</v>
      </c>
      <c r="H123">
        <v>130.82499999999999</v>
      </c>
      <c r="I123" t="s">
        <v>116</v>
      </c>
      <c r="J123" t="s">
        <v>27</v>
      </c>
      <c r="K123" t="s">
        <v>163</v>
      </c>
      <c r="L123">
        <f t="shared" si="12"/>
        <v>26.429292929292927</v>
      </c>
      <c r="M123" t="s">
        <v>26</v>
      </c>
      <c r="N123">
        <f>G123-(((G$131/C$131*C123)+(G$132/C$132*C123)+(G$133/C$133*C123))/3)</f>
        <v>8296.6611032790388</v>
      </c>
      <c r="O123">
        <f t="shared" si="14"/>
        <v>313.91914742007447</v>
      </c>
    </row>
    <row r="124" spans="1:15" x14ac:dyDescent="0.25">
      <c r="A124">
        <v>2</v>
      </c>
      <c r="B124" t="s">
        <v>287</v>
      </c>
      <c r="C124">
        <v>1165</v>
      </c>
      <c r="D124">
        <v>302.14</v>
      </c>
      <c r="E124">
        <v>351993</v>
      </c>
      <c r="F124">
        <v>289</v>
      </c>
      <c r="G124">
        <v>351993</v>
      </c>
      <c r="H124">
        <v>144.852</v>
      </c>
      <c r="I124" t="s">
        <v>117</v>
      </c>
      <c r="J124" t="s">
        <v>27</v>
      </c>
      <c r="K124" t="s">
        <v>163</v>
      </c>
      <c r="L124">
        <f t="shared" si="12"/>
        <v>29.263030303030302</v>
      </c>
      <c r="M124" t="s">
        <v>26</v>
      </c>
      <c r="N124">
        <f t="shared" ref="N124:N130" si="19">G124-(((G$131/C$131*C124)+(G$132/C$132*C124)+(G$133/C$133*C124))/3)</f>
        <v>21922.962117335934</v>
      </c>
      <c r="O124">
        <f t="shared" si="14"/>
        <v>749.16923812451932</v>
      </c>
    </row>
    <row r="125" spans="1:15" x14ac:dyDescent="0.25">
      <c r="A125">
        <v>3</v>
      </c>
      <c r="B125" t="s">
        <v>288</v>
      </c>
      <c r="C125">
        <v>1151</v>
      </c>
      <c r="D125">
        <v>317.27699999999999</v>
      </c>
      <c r="E125">
        <v>365186</v>
      </c>
      <c r="F125">
        <v>298</v>
      </c>
      <c r="G125">
        <v>365186</v>
      </c>
      <c r="H125">
        <v>143.36000000000001</v>
      </c>
      <c r="I125" t="s">
        <v>118</v>
      </c>
      <c r="J125" t="s">
        <v>27</v>
      </c>
      <c r="K125" t="s">
        <v>163</v>
      </c>
      <c r="L125">
        <f t="shared" si="12"/>
        <v>28.961616161616163</v>
      </c>
      <c r="M125" t="s">
        <v>26</v>
      </c>
      <c r="N125">
        <f t="shared" si="19"/>
        <v>39082.469010346453</v>
      </c>
      <c r="O125">
        <f t="shared" si="14"/>
        <v>1349.4574609459746</v>
      </c>
    </row>
    <row r="126" spans="1:15" x14ac:dyDescent="0.25">
      <c r="A126">
        <v>4</v>
      </c>
      <c r="B126" t="s">
        <v>289</v>
      </c>
      <c r="C126">
        <v>997</v>
      </c>
      <c r="D126">
        <v>301.03899999999999</v>
      </c>
      <c r="E126">
        <v>300136</v>
      </c>
      <c r="F126">
        <v>292</v>
      </c>
      <c r="G126">
        <v>300136</v>
      </c>
      <c r="H126">
        <v>123.658</v>
      </c>
      <c r="I126" t="s">
        <v>119</v>
      </c>
      <c r="J126" t="s">
        <v>27</v>
      </c>
      <c r="K126" t="s">
        <v>163</v>
      </c>
      <c r="L126">
        <f t="shared" si="12"/>
        <v>24.981414141414142</v>
      </c>
      <c r="M126" t="s">
        <v>26</v>
      </c>
      <c r="N126">
        <f t="shared" si="19"/>
        <v>17664.044833462627</v>
      </c>
      <c r="O126">
        <f t="shared" si="14"/>
        <v>707.08746644487212</v>
      </c>
    </row>
    <row r="127" spans="1:15" x14ac:dyDescent="0.25">
      <c r="A127">
        <v>5</v>
      </c>
      <c r="B127" t="s">
        <v>290</v>
      </c>
      <c r="C127">
        <v>925</v>
      </c>
      <c r="D127">
        <v>294.26799999999997</v>
      </c>
      <c r="E127">
        <v>272198</v>
      </c>
      <c r="F127">
        <v>290</v>
      </c>
      <c r="G127">
        <v>272198</v>
      </c>
      <c r="H127">
        <v>115.045</v>
      </c>
      <c r="I127" t="s">
        <v>120</v>
      </c>
      <c r="J127" t="s">
        <v>27</v>
      </c>
      <c r="K127" t="s">
        <v>163</v>
      </c>
      <c r="L127">
        <f t="shared" si="12"/>
        <v>23.24141414141414</v>
      </c>
      <c r="M127" t="s">
        <v>26</v>
      </c>
      <c r="N127">
        <f t="shared" si="19"/>
        <v>10125.22314037403</v>
      </c>
      <c r="O127">
        <f t="shared" si="14"/>
        <v>435.65434868835194</v>
      </c>
    </row>
    <row r="128" spans="1:15" x14ac:dyDescent="0.25">
      <c r="A128">
        <v>6</v>
      </c>
      <c r="B128" t="s">
        <v>291</v>
      </c>
      <c r="C128">
        <v>1232</v>
      </c>
      <c r="D128">
        <v>320.47399999999999</v>
      </c>
      <c r="E128">
        <v>394824</v>
      </c>
      <c r="F128">
        <v>297</v>
      </c>
      <c r="G128">
        <v>394824</v>
      </c>
      <c r="H128">
        <v>152.905</v>
      </c>
      <c r="I128" t="s">
        <v>121</v>
      </c>
      <c r="J128" t="s">
        <v>27</v>
      </c>
      <c r="K128" t="s">
        <v>163</v>
      </c>
      <c r="L128">
        <f t="shared" si="12"/>
        <v>30.889898989898988</v>
      </c>
      <c r="M128" t="s">
        <v>26</v>
      </c>
      <c r="N128">
        <f t="shared" si="19"/>
        <v>45771.393415071128</v>
      </c>
      <c r="O128">
        <f t="shared" si="14"/>
        <v>1481.7592453131167</v>
      </c>
    </row>
    <row r="129" spans="1:15" x14ac:dyDescent="0.25">
      <c r="A129">
        <v>7</v>
      </c>
      <c r="B129" t="s">
        <v>292</v>
      </c>
      <c r="C129">
        <v>1055</v>
      </c>
      <c r="D129">
        <v>299.41800000000001</v>
      </c>
      <c r="E129">
        <v>315886</v>
      </c>
      <c r="F129">
        <v>290</v>
      </c>
      <c r="G129">
        <v>315886</v>
      </c>
      <c r="H129">
        <v>131.08699999999999</v>
      </c>
      <c r="I129" t="s">
        <v>122</v>
      </c>
      <c r="J129" t="s">
        <v>27</v>
      </c>
      <c r="K129" t="s">
        <v>163</v>
      </c>
      <c r="L129">
        <f t="shared" si="12"/>
        <v>26.482222222222219</v>
      </c>
      <c r="M129" t="s">
        <v>26</v>
      </c>
      <c r="N129">
        <f t="shared" si="19"/>
        <v>16981.373419561714</v>
      </c>
      <c r="O129">
        <f t="shared" si="14"/>
        <v>641.23672390725619</v>
      </c>
    </row>
    <row r="130" spans="1:15" x14ac:dyDescent="0.25">
      <c r="A130">
        <v>8</v>
      </c>
      <c r="B130" t="s">
        <v>293</v>
      </c>
      <c r="C130">
        <v>1144</v>
      </c>
      <c r="D130">
        <v>313.053</v>
      </c>
      <c r="E130">
        <v>358133</v>
      </c>
      <c r="F130">
        <v>292</v>
      </c>
      <c r="G130">
        <v>358133</v>
      </c>
      <c r="H130">
        <v>141.79499999999999</v>
      </c>
      <c r="I130" t="s">
        <v>123</v>
      </c>
      <c r="J130" t="s">
        <v>27</v>
      </c>
      <c r="K130" t="s">
        <v>163</v>
      </c>
      <c r="L130">
        <f t="shared" ref="L130:L177" si="20">H130/4.95</f>
        <v>28.645454545454541</v>
      </c>
      <c r="M130" t="s">
        <v>26</v>
      </c>
      <c r="N130">
        <f t="shared" si="19"/>
        <v>34012.7224568518</v>
      </c>
      <c r="O130">
        <f t="shared" si="14"/>
        <v>1187.3689210579812</v>
      </c>
    </row>
    <row r="131" spans="1:15" x14ac:dyDescent="0.25">
      <c r="A131">
        <v>9</v>
      </c>
      <c r="B131" t="s">
        <v>294</v>
      </c>
      <c r="C131">
        <v>1041</v>
      </c>
      <c r="D131">
        <v>283.52100000000002</v>
      </c>
      <c r="E131">
        <v>295145</v>
      </c>
      <c r="F131">
        <v>284</v>
      </c>
      <c r="G131">
        <v>295145</v>
      </c>
      <c r="H131">
        <v>129.57</v>
      </c>
      <c r="I131" t="s">
        <v>124</v>
      </c>
      <c r="K131" t="s">
        <v>163</v>
      </c>
      <c r="L131">
        <f t="shared" si="20"/>
        <v>26.175757575757572</v>
      </c>
      <c r="M131" t="s">
        <v>26</v>
      </c>
      <c r="O131">
        <f t="shared" si="14"/>
        <v>0</v>
      </c>
    </row>
    <row r="132" spans="1:15" x14ac:dyDescent="0.25">
      <c r="A132">
        <v>10</v>
      </c>
      <c r="B132" t="s">
        <v>295</v>
      </c>
      <c r="C132">
        <v>1106</v>
      </c>
      <c r="D132">
        <v>283.22699999999998</v>
      </c>
      <c r="E132">
        <v>313249</v>
      </c>
      <c r="F132">
        <v>283</v>
      </c>
      <c r="G132">
        <v>313249</v>
      </c>
      <c r="H132">
        <v>137.40799999999999</v>
      </c>
      <c r="I132" t="s">
        <v>124</v>
      </c>
      <c r="K132" t="s">
        <v>163</v>
      </c>
      <c r="L132">
        <f t="shared" si="20"/>
        <v>27.759191919191917</v>
      </c>
      <c r="M132" t="s">
        <v>26</v>
      </c>
      <c r="O132">
        <f t="shared" si="14"/>
        <v>0</v>
      </c>
    </row>
    <row r="133" spans="1:15" x14ac:dyDescent="0.25">
      <c r="A133">
        <v>11</v>
      </c>
      <c r="B133" t="s">
        <v>296</v>
      </c>
      <c r="C133">
        <v>1123</v>
      </c>
      <c r="D133">
        <v>283.21800000000002</v>
      </c>
      <c r="E133">
        <v>318054</v>
      </c>
      <c r="F133">
        <v>283</v>
      </c>
      <c r="G133">
        <v>318054</v>
      </c>
      <c r="H133">
        <v>139.398</v>
      </c>
      <c r="I133" t="s">
        <v>124</v>
      </c>
      <c r="K133" t="s">
        <v>163</v>
      </c>
      <c r="L133">
        <f t="shared" si="20"/>
        <v>28.16121212121212</v>
      </c>
      <c r="M133" t="s">
        <v>26</v>
      </c>
      <c r="O133">
        <f t="shared" si="14"/>
        <v>0</v>
      </c>
    </row>
    <row r="134" spans="1:15" x14ac:dyDescent="0.25">
      <c r="A134">
        <v>1</v>
      </c>
      <c r="B134" t="s">
        <v>297</v>
      </c>
      <c r="C134">
        <v>1184</v>
      </c>
      <c r="D134">
        <v>295.67</v>
      </c>
      <c r="E134">
        <v>350073</v>
      </c>
      <c r="F134">
        <v>287</v>
      </c>
      <c r="G134">
        <v>350073</v>
      </c>
      <c r="H134">
        <v>146.88499999999999</v>
      </c>
      <c r="I134" t="s">
        <v>125</v>
      </c>
      <c r="J134" t="s">
        <v>27</v>
      </c>
      <c r="K134" t="s">
        <v>164</v>
      </c>
      <c r="L134">
        <f t="shared" si="20"/>
        <v>29.673737373737371</v>
      </c>
      <c r="M134" t="s">
        <v>126</v>
      </c>
      <c r="N134">
        <f>G134-(((G$142/C$142*C134)+(G$143/C$143*C134)+(G$144/C$144*C134))/3)</f>
        <v>14426.349349882803</v>
      </c>
      <c r="O134">
        <f>N134/L134</f>
        <v>486.16556681703292</v>
      </c>
    </row>
    <row r="135" spans="1:15" x14ac:dyDescent="0.25">
      <c r="A135">
        <v>2</v>
      </c>
      <c r="B135" t="s">
        <v>298</v>
      </c>
      <c r="C135">
        <v>989</v>
      </c>
      <c r="D135">
        <v>298.96600000000001</v>
      </c>
      <c r="E135">
        <v>295677</v>
      </c>
      <c r="F135">
        <v>289</v>
      </c>
      <c r="G135">
        <v>295677</v>
      </c>
      <c r="H135">
        <v>122.904</v>
      </c>
      <c r="I135" t="s">
        <v>127</v>
      </c>
      <c r="J135" t="s">
        <v>27</v>
      </c>
      <c r="K135" t="s">
        <v>164</v>
      </c>
      <c r="L135">
        <f t="shared" si="20"/>
        <v>24.829090909090908</v>
      </c>
      <c r="M135" t="s">
        <v>126</v>
      </c>
      <c r="N135">
        <f t="shared" ref="N135:N141" si="21">G135-(((G$142/C$142*C135)+(G$143/C$143*C135)+(G$144/C$144*C135))/3)</f>
        <v>15309.991982292326</v>
      </c>
      <c r="O135">
        <f>N135/L135</f>
        <v>616.61508423116425</v>
      </c>
    </row>
    <row r="136" spans="1:15" x14ac:dyDescent="0.25">
      <c r="A136">
        <v>3</v>
      </c>
      <c r="B136" t="s">
        <v>299</v>
      </c>
      <c r="C136">
        <v>1127</v>
      </c>
      <c r="D136">
        <v>304.88400000000001</v>
      </c>
      <c r="E136">
        <v>343604</v>
      </c>
      <c r="F136">
        <v>293</v>
      </c>
      <c r="G136">
        <v>343604</v>
      </c>
      <c r="H136">
        <v>139.72800000000001</v>
      </c>
      <c r="I136" t="s">
        <v>128</v>
      </c>
      <c r="J136" t="s">
        <v>27</v>
      </c>
      <c r="K136" t="s">
        <v>164</v>
      </c>
      <c r="L136">
        <f t="shared" si="20"/>
        <v>28.22787878787879</v>
      </c>
      <c r="M136" t="s">
        <v>126</v>
      </c>
      <c r="N136">
        <f t="shared" si="21"/>
        <v>24116.014119356347</v>
      </c>
      <c r="O136">
        <f t="shared" si="14"/>
        <v>854.33320373020376</v>
      </c>
    </row>
    <row r="137" spans="1:15" x14ac:dyDescent="0.25">
      <c r="A137">
        <v>4</v>
      </c>
      <c r="B137" t="s">
        <v>300</v>
      </c>
      <c r="C137">
        <v>1017</v>
      </c>
      <c r="D137">
        <v>292.44099999999997</v>
      </c>
      <c r="E137">
        <v>297413</v>
      </c>
      <c r="F137">
        <v>289</v>
      </c>
      <c r="G137">
        <v>297413</v>
      </c>
      <c r="H137">
        <v>125.94199999999999</v>
      </c>
      <c r="I137" t="s">
        <v>129</v>
      </c>
      <c r="J137" t="s">
        <v>27</v>
      </c>
      <c r="K137" t="s">
        <v>164</v>
      </c>
      <c r="L137">
        <f t="shared" si="20"/>
        <v>25.44282828282828</v>
      </c>
      <c r="M137" t="s">
        <v>126</v>
      </c>
      <c r="N137">
        <f t="shared" si="21"/>
        <v>9108.402270971972</v>
      </c>
      <c r="O137">
        <f t="shared" si="14"/>
        <v>357.99488051095955</v>
      </c>
    </row>
    <row r="138" spans="1:15" x14ac:dyDescent="0.25">
      <c r="A138">
        <v>5</v>
      </c>
      <c r="B138" t="s">
        <v>301</v>
      </c>
      <c r="C138">
        <v>1318</v>
      </c>
      <c r="D138">
        <v>314.12299999999999</v>
      </c>
      <c r="E138">
        <v>414014</v>
      </c>
      <c r="F138">
        <v>295</v>
      </c>
      <c r="G138">
        <v>414014</v>
      </c>
      <c r="H138">
        <v>163.75899999999999</v>
      </c>
      <c r="I138" t="s">
        <v>159</v>
      </c>
      <c r="J138" t="s">
        <v>27</v>
      </c>
      <c r="K138" t="s">
        <v>164</v>
      </c>
      <c r="L138">
        <f t="shared" si="20"/>
        <v>33.082626262626256</v>
      </c>
      <c r="M138" t="s">
        <v>126</v>
      </c>
      <c r="N138">
        <f t="shared" si="21"/>
        <v>40380.312874278345</v>
      </c>
      <c r="O138">
        <f t="shared" si="14"/>
        <v>1220.5897002771014</v>
      </c>
    </row>
    <row r="139" spans="1:15" x14ac:dyDescent="0.25">
      <c r="A139">
        <v>6</v>
      </c>
      <c r="B139" t="s">
        <v>302</v>
      </c>
      <c r="C139">
        <v>1159</v>
      </c>
      <c r="D139">
        <v>304.399</v>
      </c>
      <c r="E139">
        <v>352799</v>
      </c>
      <c r="F139">
        <v>292</v>
      </c>
      <c r="G139">
        <v>352799</v>
      </c>
      <c r="H139">
        <v>143.79900000000001</v>
      </c>
      <c r="I139" t="s">
        <v>130</v>
      </c>
      <c r="J139" t="s">
        <v>27</v>
      </c>
      <c r="K139" t="s">
        <v>164</v>
      </c>
      <c r="L139">
        <f t="shared" si="20"/>
        <v>29.050303030303031</v>
      </c>
      <c r="M139" t="s">
        <v>126</v>
      </c>
      <c r="N139">
        <f t="shared" si="21"/>
        <v>24239.483020704531</v>
      </c>
      <c r="O139">
        <f t="shared" si="14"/>
        <v>834.396907853931</v>
      </c>
    </row>
    <row r="140" spans="1:15" x14ac:dyDescent="0.25">
      <c r="A140">
        <v>7</v>
      </c>
      <c r="B140" t="s">
        <v>303</v>
      </c>
      <c r="C140">
        <v>1083</v>
      </c>
      <c r="D140">
        <v>300.21899999999999</v>
      </c>
      <c r="E140">
        <v>325137</v>
      </c>
      <c r="F140">
        <v>290</v>
      </c>
      <c r="G140">
        <v>325137</v>
      </c>
      <c r="H140">
        <v>134.352</v>
      </c>
      <c r="I140" t="s">
        <v>131</v>
      </c>
      <c r="J140" t="s">
        <v>27</v>
      </c>
      <c r="K140" t="s">
        <v>164</v>
      </c>
      <c r="L140">
        <f t="shared" si="20"/>
        <v>27.141818181818181</v>
      </c>
      <c r="M140" t="s">
        <v>126</v>
      </c>
      <c r="N140">
        <f t="shared" si="21"/>
        <v>18122.369380002609</v>
      </c>
      <c r="O140">
        <f t="shared" si="14"/>
        <v>667.69179789666634</v>
      </c>
    </row>
    <row r="141" spans="1:15" x14ac:dyDescent="0.25">
      <c r="A141">
        <v>8</v>
      </c>
      <c r="B141" t="s">
        <v>304</v>
      </c>
      <c r="C141">
        <v>1123</v>
      </c>
      <c r="D141">
        <v>308.18299999999999</v>
      </c>
      <c r="E141">
        <v>346089</v>
      </c>
      <c r="F141">
        <v>293</v>
      </c>
      <c r="G141">
        <v>346089</v>
      </c>
      <c r="H141">
        <v>139.27199999999999</v>
      </c>
      <c r="I141" t="s">
        <v>132</v>
      </c>
      <c r="J141" t="s">
        <v>27</v>
      </c>
      <c r="K141" t="s">
        <v>164</v>
      </c>
      <c r="L141">
        <f t="shared" si="20"/>
        <v>28.135757575757573</v>
      </c>
      <c r="M141" t="s">
        <v>126</v>
      </c>
      <c r="N141">
        <f t="shared" si="21"/>
        <v>27734.955506687809</v>
      </c>
      <c r="O141">
        <f t="shared" ref="O141:O177" si="22">N141/L141</f>
        <v>985.7547084705086</v>
      </c>
    </row>
    <row r="142" spans="1:15" x14ac:dyDescent="0.25">
      <c r="A142">
        <v>9</v>
      </c>
      <c r="B142" t="s">
        <v>305</v>
      </c>
      <c r="C142">
        <v>1216</v>
      </c>
      <c r="D142">
        <v>283.71899999999999</v>
      </c>
      <c r="E142">
        <v>345002</v>
      </c>
      <c r="F142">
        <v>284</v>
      </c>
      <c r="G142">
        <v>345002</v>
      </c>
      <c r="H142">
        <v>151.006</v>
      </c>
      <c r="I142" t="s">
        <v>124</v>
      </c>
      <c r="K142" t="s">
        <v>164</v>
      </c>
      <c r="L142">
        <f t="shared" si="20"/>
        <v>30.506262626262625</v>
      </c>
      <c r="M142" t="s">
        <v>126</v>
      </c>
      <c r="O142">
        <f t="shared" si="22"/>
        <v>0</v>
      </c>
    </row>
    <row r="143" spans="1:15" x14ac:dyDescent="0.25">
      <c r="A143">
        <v>10</v>
      </c>
      <c r="B143" t="s">
        <v>306</v>
      </c>
      <c r="C143">
        <v>1277</v>
      </c>
      <c r="D143">
        <v>283.39699999999999</v>
      </c>
      <c r="E143">
        <v>361898</v>
      </c>
      <c r="F143">
        <v>283</v>
      </c>
      <c r="G143">
        <v>361898</v>
      </c>
      <c r="H143">
        <v>158.90600000000001</v>
      </c>
      <c r="I143" t="s">
        <v>124</v>
      </c>
      <c r="K143" t="s">
        <v>164</v>
      </c>
      <c r="L143">
        <f t="shared" si="20"/>
        <v>32.102222222222224</v>
      </c>
      <c r="M143" t="s">
        <v>126</v>
      </c>
      <c r="O143">
        <f t="shared" si="22"/>
        <v>0</v>
      </c>
    </row>
    <row r="144" spans="1:15" x14ac:dyDescent="0.25">
      <c r="A144">
        <v>11</v>
      </c>
      <c r="B144" t="s">
        <v>307</v>
      </c>
      <c r="C144">
        <v>1202</v>
      </c>
      <c r="D144">
        <v>283.33999999999997</v>
      </c>
      <c r="E144">
        <v>340575</v>
      </c>
      <c r="F144">
        <v>283</v>
      </c>
      <c r="G144">
        <v>340575</v>
      </c>
      <c r="H144">
        <v>149.648</v>
      </c>
      <c r="I144" t="s">
        <v>124</v>
      </c>
      <c r="K144" t="s">
        <v>164</v>
      </c>
      <c r="L144">
        <f t="shared" si="20"/>
        <v>30.231919191919189</v>
      </c>
      <c r="M144" t="s">
        <v>126</v>
      </c>
      <c r="O144">
        <f t="shared" si="22"/>
        <v>0</v>
      </c>
    </row>
    <row r="145" spans="1:15" x14ac:dyDescent="0.25">
      <c r="A145">
        <v>1</v>
      </c>
      <c r="B145" t="s">
        <v>308</v>
      </c>
      <c r="C145">
        <v>1110</v>
      </c>
      <c r="D145">
        <v>304.62700000000001</v>
      </c>
      <c r="E145">
        <v>338136</v>
      </c>
      <c r="F145">
        <v>292</v>
      </c>
      <c r="G145">
        <v>338136</v>
      </c>
      <c r="H145">
        <v>137.608</v>
      </c>
      <c r="I145" t="s">
        <v>133</v>
      </c>
      <c r="J145" t="s">
        <v>27</v>
      </c>
      <c r="K145" t="s">
        <v>164</v>
      </c>
      <c r="L145">
        <f t="shared" si="20"/>
        <v>27.799595959595958</v>
      </c>
      <c r="M145" t="s">
        <v>134</v>
      </c>
      <c r="N145">
        <f>G145-(((G$153/C$153*C145)+(G$154/C$154*C145)+(G$155/C$155*C145))/3)</f>
        <v>23204.880862899357</v>
      </c>
      <c r="O145">
        <f t="shared" si="22"/>
        <v>834.72007638619721</v>
      </c>
    </row>
    <row r="146" spans="1:15" x14ac:dyDescent="0.25">
      <c r="A146">
        <v>2</v>
      </c>
      <c r="B146" t="s">
        <v>309</v>
      </c>
      <c r="C146">
        <v>1040</v>
      </c>
      <c r="D146">
        <v>294.41300000000001</v>
      </c>
      <c r="E146">
        <v>306189</v>
      </c>
      <c r="F146">
        <v>289</v>
      </c>
      <c r="G146">
        <v>306189</v>
      </c>
      <c r="H146">
        <v>129.65</v>
      </c>
      <c r="I146" t="s">
        <v>160</v>
      </c>
      <c r="J146" t="s">
        <v>27</v>
      </c>
      <c r="K146" t="s">
        <v>164</v>
      </c>
      <c r="L146">
        <f t="shared" si="20"/>
        <v>26.191919191919194</v>
      </c>
      <c r="M146" t="s">
        <v>134</v>
      </c>
      <c r="N146">
        <f>G146-(((G$153/C$153*C146)+(G$154/C$154*C146)+(G$155/C$155*C146))/3)</f>
        <v>11118.401889563364</v>
      </c>
      <c r="O146">
        <f t="shared" si="22"/>
        <v>424.49741113257727</v>
      </c>
    </row>
    <row r="147" spans="1:15" x14ac:dyDescent="0.25">
      <c r="A147">
        <v>3</v>
      </c>
      <c r="B147" t="s">
        <v>310</v>
      </c>
      <c r="C147">
        <v>1367</v>
      </c>
      <c r="D147">
        <v>304.34500000000003</v>
      </c>
      <c r="E147">
        <v>416039</v>
      </c>
      <c r="F147">
        <v>292</v>
      </c>
      <c r="G147">
        <v>416039</v>
      </c>
      <c r="H147">
        <v>169.55500000000001</v>
      </c>
      <c r="I147" t="s">
        <v>135</v>
      </c>
      <c r="J147" t="s">
        <v>27</v>
      </c>
      <c r="K147" t="s">
        <v>164</v>
      </c>
      <c r="L147">
        <f t="shared" si="20"/>
        <v>34.253535353535355</v>
      </c>
      <c r="M147" t="s">
        <v>134</v>
      </c>
      <c r="N147">
        <f>G147-(((G$153/C$153*C147)+(G$154/C$154*C147)+(G$155/C$155*C147))/3)</f>
        <v>28191.39652214729</v>
      </c>
      <c r="O147">
        <f t="shared" si="22"/>
        <v>823.02151387236631</v>
      </c>
    </row>
    <row r="148" spans="1:15" x14ac:dyDescent="0.25">
      <c r="A148">
        <v>4</v>
      </c>
      <c r="B148" t="s">
        <v>311</v>
      </c>
      <c r="C148">
        <v>1189</v>
      </c>
      <c r="D148">
        <v>298.98700000000002</v>
      </c>
      <c r="E148">
        <v>355495</v>
      </c>
      <c r="F148">
        <v>289</v>
      </c>
      <c r="G148">
        <v>355495</v>
      </c>
      <c r="H148">
        <v>147.64599999999999</v>
      </c>
      <c r="I148" t="s">
        <v>136</v>
      </c>
      <c r="J148" t="s">
        <v>27</v>
      </c>
      <c r="K148" t="s">
        <v>164</v>
      </c>
      <c r="L148">
        <f t="shared" si="20"/>
        <v>29.827474747474742</v>
      </c>
      <c r="M148" t="s">
        <v>134</v>
      </c>
      <c r="N148">
        <f>G148-(((G$153/C$153*C148)+(G$154/C$154*C148)+(G$155/C$155*C148))/3)</f>
        <v>18149.864275664324</v>
      </c>
      <c r="O148">
        <f t="shared" si="22"/>
        <v>608.49483334826834</v>
      </c>
    </row>
    <row r="149" spans="1:15" x14ac:dyDescent="0.25">
      <c r="A149">
        <v>5</v>
      </c>
      <c r="B149" t="s">
        <v>312</v>
      </c>
      <c r="C149">
        <v>1033</v>
      </c>
      <c r="D149">
        <v>319.964</v>
      </c>
      <c r="E149">
        <v>330523</v>
      </c>
      <c r="F149">
        <v>300</v>
      </c>
      <c r="G149">
        <v>330523</v>
      </c>
      <c r="H149">
        <v>127.69499999999999</v>
      </c>
      <c r="I149" t="s">
        <v>137</v>
      </c>
      <c r="J149" t="s">
        <v>27</v>
      </c>
      <c r="K149" t="s">
        <v>164</v>
      </c>
      <c r="L149">
        <f t="shared" si="20"/>
        <v>25.796969696969693</v>
      </c>
      <c r="M149" t="s">
        <v>134</v>
      </c>
      <c r="N149">
        <f>G149-(((G$153/C$153*C149)+(G$154/C$154*C149)+(G$155/C$155*C149))/3)</f>
        <v>37438.453992229828</v>
      </c>
      <c r="O149">
        <f t="shared" si="22"/>
        <v>1451.2733252009684</v>
      </c>
    </row>
    <row r="150" spans="1:15" x14ac:dyDescent="0.25">
      <c r="A150">
        <v>6</v>
      </c>
      <c r="B150" t="s">
        <v>313</v>
      </c>
      <c r="C150">
        <v>1171</v>
      </c>
      <c r="D150">
        <v>298.40600000000001</v>
      </c>
      <c r="E150">
        <v>349433</v>
      </c>
      <c r="F150">
        <v>289</v>
      </c>
      <c r="G150">
        <v>349433</v>
      </c>
      <c r="H150">
        <v>146.136</v>
      </c>
      <c r="I150" t="s">
        <v>138</v>
      </c>
      <c r="J150" t="s">
        <v>27</v>
      </c>
      <c r="K150" t="s">
        <v>164</v>
      </c>
      <c r="L150">
        <f t="shared" si="20"/>
        <v>29.52242424242424</v>
      </c>
      <c r="M150" t="s">
        <v>134</v>
      </c>
      <c r="N150">
        <f t="shared" ref="N150:N152" si="23">G150-(((G$153/C$153*C150)+(G$154/C$154*C150)+(G$155/C$155*C150))/3)</f>
        <v>17194.855396806495</v>
      </c>
      <c r="O150">
        <f t="shared" si="22"/>
        <v>582.43372074089996</v>
      </c>
    </row>
    <row r="151" spans="1:15" x14ac:dyDescent="0.25">
      <c r="A151">
        <v>7</v>
      </c>
      <c r="B151" t="s">
        <v>314</v>
      </c>
      <c r="C151">
        <v>1185</v>
      </c>
      <c r="D151">
        <v>310.00599999999997</v>
      </c>
      <c r="E151">
        <v>367357</v>
      </c>
      <c r="F151">
        <v>295</v>
      </c>
      <c r="G151">
        <v>367357</v>
      </c>
      <c r="H151">
        <v>147.10900000000001</v>
      </c>
      <c r="I151" t="s">
        <v>139</v>
      </c>
      <c r="J151" t="s">
        <v>27</v>
      </c>
      <c r="K151" t="s">
        <v>164</v>
      </c>
      <c r="L151">
        <f t="shared" si="20"/>
        <v>29.7189898989899</v>
      </c>
      <c r="M151" t="s">
        <v>134</v>
      </c>
      <c r="N151">
        <f t="shared" si="23"/>
        <v>31146.751191473682</v>
      </c>
      <c r="O151">
        <f t="shared" si="22"/>
        <v>1048.0420531564671</v>
      </c>
    </row>
    <row r="152" spans="1:15" x14ac:dyDescent="0.25">
      <c r="A152">
        <v>8</v>
      </c>
      <c r="B152" t="s">
        <v>315</v>
      </c>
      <c r="C152">
        <v>1131</v>
      </c>
      <c r="D152">
        <v>302.31799999999998</v>
      </c>
      <c r="E152">
        <v>341922</v>
      </c>
      <c r="F152">
        <v>291</v>
      </c>
      <c r="G152">
        <v>341922</v>
      </c>
      <c r="H152">
        <v>140.95099999999999</v>
      </c>
      <c r="I152" t="s">
        <v>140</v>
      </c>
      <c r="J152" t="s">
        <v>27</v>
      </c>
      <c r="K152" t="s">
        <v>164</v>
      </c>
      <c r="L152">
        <f t="shared" si="20"/>
        <v>28.474949494949492</v>
      </c>
      <c r="M152" t="s">
        <v>134</v>
      </c>
      <c r="N152">
        <f t="shared" si="23"/>
        <v>21032.724554900255</v>
      </c>
      <c r="O152">
        <f t="shared" si="22"/>
        <v>738.63957365862086</v>
      </c>
    </row>
    <row r="153" spans="1:15" x14ac:dyDescent="0.25">
      <c r="A153">
        <v>9</v>
      </c>
      <c r="B153" t="s">
        <v>316</v>
      </c>
      <c r="C153">
        <v>1380</v>
      </c>
      <c r="D153">
        <v>283.97300000000001</v>
      </c>
      <c r="E153">
        <v>391883</v>
      </c>
      <c r="F153">
        <v>284</v>
      </c>
      <c r="G153">
        <v>391883</v>
      </c>
      <c r="H153">
        <v>171.45099999999999</v>
      </c>
      <c r="I153" t="s">
        <v>124</v>
      </c>
      <c r="K153" t="s">
        <v>164</v>
      </c>
      <c r="L153">
        <f t="shared" si="20"/>
        <v>34.636565656565651</v>
      </c>
      <c r="M153" t="s">
        <v>134</v>
      </c>
      <c r="O153">
        <f t="shared" si="22"/>
        <v>0</v>
      </c>
    </row>
    <row r="154" spans="1:15" x14ac:dyDescent="0.25">
      <c r="A154">
        <v>10</v>
      </c>
      <c r="B154" t="s">
        <v>317</v>
      </c>
      <c r="C154">
        <v>1338</v>
      </c>
      <c r="D154">
        <v>283.57299999999998</v>
      </c>
      <c r="E154">
        <v>379421</v>
      </c>
      <c r="F154">
        <v>284</v>
      </c>
      <c r="G154">
        <v>379421</v>
      </c>
      <c r="H154">
        <v>165.80199999999999</v>
      </c>
      <c r="I154" t="s">
        <v>124</v>
      </c>
      <c r="K154" t="s">
        <v>164</v>
      </c>
      <c r="L154">
        <f t="shared" si="20"/>
        <v>33.49535353535353</v>
      </c>
      <c r="M154" t="s">
        <v>134</v>
      </c>
      <c r="O154">
        <f t="shared" si="22"/>
        <v>0</v>
      </c>
    </row>
    <row r="155" spans="1:15" x14ac:dyDescent="0.25">
      <c r="A155">
        <v>11</v>
      </c>
      <c r="B155" t="s">
        <v>318</v>
      </c>
      <c r="C155">
        <v>1301</v>
      </c>
      <c r="D155">
        <v>283.61900000000003</v>
      </c>
      <c r="E155">
        <v>368988</v>
      </c>
      <c r="F155">
        <v>284</v>
      </c>
      <c r="G155">
        <v>368988</v>
      </c>
      <c r="H155">
        <v>161.22200000000001</v>
      </c>
      <c r="I155" t="s">
        <v>124</v>
      </c>
      <c r="K155" t="s">
        <v>164</v>
      </c>
      <c r="L155">
        <f t="shared" si="20"/>
        <v>32.570101010101013</v>
      </c>
      <c r="M155" t="s">
        <v>134</v>
      </c>
      <c r="O155">
        <f t="shared" si="22"/>
        <v>0</v>
      </c>
    </row>
    <row r="156" spans="1:15" x14ac:dyDescent="0.25">
      <c r="A156">
        <v>1</v>
      </c>
      <c r="B156" t="s">
        <v>319</v>
      </c>
      <c r="C156">
        <v>881</v>
      </c>
      <c r="D156">
        <v>287.839</v>
      </c>
      <c r="E156">
        <v>253586</v>
      </c>
      <c r="F156">
        <v>286</v>
      </c>
      <c r="G156">
        <v>253586</v>
      </c>
      <c r="H156">
        <v>108.73399999999999</v>
      </c>
      <c r="I156" t="s">
        <v>141</v>
      </c>
      <c r="J156" t="s">
        <v>27</v>
      </c>
      <c r="K156" t="s">
        <v>164</v>
      </c>
      <c r="L156">
        <f t="shared" si="20"/>
        <v>21.966464646464644</v>
      </c>
      <c r="M156" t="s">
        <v>142</v>
      </c>
      <c r="N156">
        <f>G156-(((G$164/C$164*C156)+(G$165/C$165*C156)+(G$166/C$166*C156))/3)</f>
        <v>3803.6223215848149</v>
      </c>
      <c r="O156">
        <f t="shared" si="22"/>
        <v>173.15587113363654</v>
      </c>
    </row>
    <row r="157" spans="1:15" x14ac:dyDescent="0.25">
      <c r="A157">
        <v>2</v>
      </c>
      <c r="B157" t="s">
        <v>320</v>
      </c>
      <c r="C157">
        <v>1096</v>
      </c>
      <c r="D157">
        <v>299.94099999999997</v>
      </c>
      <c r="E157">
        <v>328735</v>
      </c>
      <c r="F157">
        <v>289</v>
      </c>
      <c r="G157">
        <v>328735</v>
      </c>
      <c r="H157">
        <v>135.69800000000001</v>
      </c>
      <c r="I157" t="s">
        <v>143</v>
      </c>
      <c r="J157" t="s">
        <v>27</v>
      </c>
      <c r="K157" t="s">
        <v>164</v>
      </c>
      <c r="L157">
        <f t="shared" si="20"/>
        <v>27.413737373737373</v>
      </c>
      <c r="M157" t="s">
        <v>142</v>
      </c>
      <c r="N157">
        <f>G157-(((G$164/C$164*C157)+(G$165/C$165*C157)+(G$166/C$166*C157))/3)</f>
        <v>17995.515396659437</v>
      </c>
      <c r="O157">
        <f t="shared" si="22"/>
        <v>656.44151876567241</v>
      </c>
    </row>
    <row r="158" spans="1:15" x14ac:dyDescent="0.25">
      <c r="A158">
        <v>3</v>
      </c>
      <c r="B158" t="s">
        <v>321</v>
      </c>
      <c r="C158">
        <v>953</v>
      </c>
      <c r="D158">
        <v>294.75299999999999</v>
      </c>
      <c r="E158">
        <v>280900</v>
      </c>
      <c r="F158">
        <v>287</v>
      </c>
      <c r="G158">
        <v>280900</v>
      </c>
      <c r="H158">
        <v>117.871</v>
      </c>
      <c r="I158" t="s">
        <v>144</v>
      </c>
      <c r="J158" t="s">
        <v>27</v>
      </c>
      <c r="K158" t="s">
        <v>164</v>
      </c>
      <c r="L158">
        <f t="shared" si="20"/>
        <v>23.81232323232323</v>
      </c>
      <c r="M158" t="s">
        <v>142</v>
      </c>
      <c r="N158">
        <f t="shared" ref="N158:N163" si="24">G158-(((G$164/C$164*C158)+(G$165/C$165*C158)+(G$166/C$166*C158))/3)</f>
        <v>10704.079537423735</v>
      </c>
      <c r="O158">
        <f t="shared" si="22"/>
        <v>449.51848809501485</v>
      </c>
    </row>
    <row r="159" spans="1:15" x14ac:dyDescent="0.25">
      <c r="A159">
        <v>4</v>
      </c>
      <c r="B159" t="s">
        <v>322</v>
      </c>
      <c r="C159">
        <v>922</v>
      </c>
      <c r="D159">
        <v>287.55700000000002</v>
      </c>
      <c r="E159">
        <v>265128</v>
      </c>
      <c r="F159">
        <v>285</v>
      </c>
      <c r="G159">
        <v>265128</v>
      </c>
      <c r="H159">
        <v>114.45</v>
      </c>
      <c r="I159" t="s">
        <v>145</v>
      </c>
      <c r="J159" t="s">
        <v>27</v>
      </c>
      <c r="K159" t="s">
        <v>164</v>
      </c>
      <c r="L159">
        <f t="shared" si="20"/>
        <v>23.121212121212121</v>
      </c>
      <c r="M159" t="s">
        <v>142</v>
      </c>
      <c r="N159">
        <f t="shared" si="24"/>
        <v>3721.2437917152711</v>
      </c>
      <c r="O159">
        <f t="shared" si="22"/>
        <v>160.94501327208906</v>
      </c>
    </row>
    <row r="160" spans="1:15" x14ac:dyDescent="0.25">
      <c r="A160">
        <v>5</v>
      </c>
      <c r="B160" t="s">
        <v>323</v>
      </c>
      <c r="C160">
        <v>1001</v>
      </c>
      <c r="D160">
        <v>335.39800000000002</v>
      </c>
      <c r="E160">
        <v>335733</v>
      </c>
      <c r="F160">
        <v>310</v>
      </c>
      <c r="G160">
        <v>335733</v>
      </c>
      <c r="H160">
        <v>124.66500000000001</v>
      </c>
      <c r="I160" t="s">
        <v>146</v>
      </c>
      <c r="J160" t="s">
        <v>27</v>
      </c>
      <c r="K160" t="s">
        <v>164</v>
      </c>
      <c r="L160">
        <f t="shared" si="20"/>
        <v>25.184848484848484</v>
      </c>
      <c r="M160" t="s">
        <v>142</v>
      </c>
      <c r="N160">
        <f t="shared" si="24"/>
        <v>51928.051014649682</v>
      </c>
      <c r="O160">
        <f t="shared" si="22"/>
        <v>2061.8766496010585</v>
      </c>
    </row>
    <row r="161" spans="1:15" x14ac:dyDescent="0.25">
      <c r="A161">
        <v>6</v>
      </c>
      <c r="B161" t="s">
        <v>324</v>
      </c>
      <c r="C161">
        <v>1129</v>
      </c>
      <c r="D161">
        <v>306.803</v>
      </c>
      <c r="E161">
        <v>346381</v>
      </c>
      <c r="F161">
        <v>296</v>
      </c>
      <c r="G161">
        <v>346381</v>
      </c>
      <c r="H161">
        <v>140.41499999999999</v>
      </c>
      <c r="I161" t="s">
        <v>147</v>
      </c>
      <c r="J161" t="s">
        <v>27</v>
      </c>
      <c r="K161" t="s">
        <v>164</v>
      </c>
      <c r="L161">
        <f t="shared" si="20"/>
        <v>28.366666666666664</v>
      </c>
      <c r="M161" t="s">
        <v>142</v>
      </c>
      <c r="N161">
        <f t="shared" si="24"/>
        <v>26285.308287252265</v>
      </c>
      <c r="O161">
        <f>N161/L161</f>
        <v>926.62661412170155</v>
      </c>
    </row>
    <row r="162" spans="1:15" x14ac:dyDescent="0.25">
      <c r="A162">
        <v>7</v>
      </c>
      <c r="B162" t="s">
        <v>325</v>
      </c>
      <c r="C162">
        <v>886</v>
      </c>
      <c r="D162">
        <v>300.14299999999997</v>
      </c>
      <c r="E162">
        <v>265927</v>
      </c>
      <c r="F162">
        <v>291</v>
      </c>
      <c r="G162">
        <v>265927</v>
      </c>
      <c r="H162">
        <v>109.718</v>
      </c>
      <c r="I162" t="s">
        <v>148</v>
      </c>
      <c r="J162" t="s">
        <v>27</v>
      </c>
      <c r="K162" t="s">
        <v>164</v>
      </c>
      <c r="L162">
        <f t="shared" si="20"/>
        <v>22.165252525252527</v>
      </c>
      <c r="M162" t="s">
        <v>142</v>
      </c>
      <c r="N162">
        <f t="shared" si="24"/>
        <v>14727.015183795826</v>
      </c>
      <c r="O162">
        <f t="shared" si="22"/>
        <v>664.41901201069402</v>
      </c>
    </row>
    <row r="163" spans="1:15" x14ac:dyDescent="0.25">
      <c r="A163">
        <v>8</v>
      </c>
      <c r="B163" t="s">
        <v>326</v>
      </c>
      <c r="C163">
        <v>874</v>
      </c>
      <c r="D163">
        <v>287.35199999999998</v>
      </c>
      <c r="E163">
        <v>251146</v>
      </c>
      <c r="F163">
        <v>286</v>
      </c>
      <c r="G163">
        <v>251146</v>
      </c>
      <c r="H163">
        <v>108.70399999999999</v>
      </c>
      <c r="I163" t="s">
        <v>149</v>
      </c>
      <c r="J163" t="s">
        <v>27</v>
      </c>
      <c r="K163" t="s">
        <v>164</v>
      </c>
      <c r="L163">
        <f t="shared" si="20"/>
        <v>21.96040404040404</v>
      </c>
      <c r="M163" t="s">
        <v>142</v>
      </c>
      <c r="N163">
        <f t="shared" si="24"/>
        <v>3348.2723144893243</v>
      </c>
      <c r="O163">
        <f t="shared" si="22"/>
        <v>152.46861161247199</v>
      </c>
    </row>
    <row r="164" spans="1:15" x14ac:dyDescent="0.25">
      <c r="A164">
        <v>9</v>
      </c>
      <c r="B164" t="s">
        <v>327</v>
      </c>
      <c r="C164">
        <v>912</v>
      </c>
      <c r="D164">
        <v>283.76900000000001</v>
      </c>
      <c r="E164">
        <v>258797</v>
      </c>
      <c r="F164">
        <v>284</v>
      </c>
      <c r="G164">
        <v>258797</v>
      </c>
      <c r="H164">
        <v>113.65600000000001</v>
      </c>
      <c r="I164" t="s">
        <v>124</v>
      </c>
      <c r="K164" t="s">
        <v>164</v>
      </c>
      <c r="L164">
        <f t="shared" si="20"/>
        <v>22.960808080808082</v>
      </c>
      <c r="M164" t="s">
        <v>142</v>
      </c>
      <c r="O164">
        <f t="shared" si="22"/>
        <v>0</v>
      </c>
    </row>
    <row r="165" spans="1:15" x14ac:dyDescent="0.25">
      <c r="A165">
        <v>10</v>
      </c>
      <c r="B165" t="s">
        <v>328</v>
      </c>
      <c r="C165">
        <v>1052</v>
      </c>
      <c r="D165">
        <v>283.56799999999998</v>
      </c>
      <c r="E165">
        <v>298314</v>
      </c>
      <c r="F165">
        <v>284</v>
      </c>
      <c r="G165">
        <v>298314</v>
      </c>
      <c r="H165">
        <v>131.297</v>
      </c>
      <c r="I165" t="s">
        <v>124</v>
      </c>
      <c r="K165" t="s">
        <v>164</v>
      </c>
      <c r="L165">
        <f t="shared" si="20"/>
        <v>26.524646464646462</v>
      </c>
      <c r="M165" t="s">
        <v>142</v>
      </c>
      <c r="O165">
        <f t="shared" si="22"/>
        <v>0</v>
      </c>
    </row>
    <row r="166" spans="1:15" x14ac:dyDescent="0.25">
      <c r="A166">
        <v>11</v>
      </c>
      <c r="B166" t="s">
        <v>329</v>
      </c>
      <c r="C166">
        <v>1272</v>
      </c>
      <c r="D166">
        <v>283.22699999999998</v>
      </c>
      <c r="E166">
        <v>360265</v>
      </c>
      <c r="F166">
        <v>283</v>
      </c>
      <c r="G166">
        <v>360265</v>
      </c>
      <c r="H166">
        <v>157.88999999999999</v>
      </c>
      <c r="I166" t="s">
        <v>124</v>
      </c>
      <c r="K166" t="s">
        <v>164</v>
      </c>
      <c r="L166">
        <f t="shared" si="20"/>
        <v>31.896969696969695</v>
      </c>
      <c r="M166" t="s">
        <v>142</v>
      </c>
      <c r="O166">
        <f t="shared" si="22"/>
        <v>0</v>
      </c>
    </row>
    <row r="167" spans="1:15" x14ac:dyDescent="0.25">
      <c r="A167">
        <v>1</v>
      </c>
      <c r="B167" t="s">
        <v>330</v>
      </c>
      <c r="C167">
        <v>1104</v>
      </c>
      <c r="D167">
        <v>293.01100000000002</v>
      </c>
      <c r="E167">
        <v>323484</v>
      </c>
      <c r="F167">
        <v>287</v>
      </c>
      <c r="G167">
        <v>323484</v>
      </c>
      <c r="H167">
        <v>136.785</v>
      </c>
      <c r="I167" t="s">
        <v>150</v>
      </c>
      <c r="J167" t="s">
        <v>27</v>
      </c>
      <c r="K167" t="s">
        <v>164</v>
      </c>
      <c r="L167">
        <f t="shared" si="20"/>
        <v>27.633333333333333</v>
      </c>
      <c r="M167" t="s">
        <v>151</v>
      </c>
      <c r="N167">
        <f>G167-(((G$175/C$175*C167)+(G$176/C$176*C167)+(G$177/C$177*C167))/3)</f>
        <v>10095.110985574371</v>
      </c>
      <c r="O167">
        <f t="shared" si="22"/>
        <v>365.32367860944646</v>
      </c>
    </row>
    <row r="168" spans="1:15" x14ac:dyDescent="0.25">
      <c r="A168">
        <v>2</v>
      </c>
      <c r="B168" t="s">
        <v>331</v>
      </c>
      <c r="C168">
        <v>1160</v>
      </c>
      <c r="D168">
        <v>312.05500000000001</v>
      </c>
      <c r="E168">
        <v>361984</v>
      </c>
      <c r="F168">
        <v>294</v>
      </c>
      <c r="G168">
        <v>361984</v>
      </c>
      <c r="H168">
        <v>144.161</v>
      </c>
      <c r="I168" t="s">
        <v>152</v>
      </c>
      <c r="J168" t="s">
        <v>27</v>
      </c>
      <c r="K168" t="s">
        <v>164</v>
      </c>
      <c r="L168">
        <f t="shared" si="20"/>
        <v>29.123434343434344</v>
      </c>
      <c r="M168" t="s">
        <v>151</v>
      </c>
      <c r="N168">
        <f>G168-(((G$175/C$175*C168)+(G$176/C$176*C168)+(G$177/C$177*C168))/3)</f>
        <v>32698.573137016559</v>
      </c>
      <c r="O168">
        <f t="shared" si="22"/>
        <v>1122.7581456027078</v>
      </c>
    </row>
    <row r="169" spans="1:15" x14ac:dyDescent="0.25">
      <c r="A169">
        <v>3</v>
      </c>
      <c r="B169" t="s">
        <v>332</v>
      </c>
      <c r="C169">
        <v>1264</v>
      </c>
      <c r="D169">
        <v>325.67200000000003</v>
      </c>
      <c r="E169">
        <v>411650</v>
      </c>
      <c r="F169">
        <v>302</v>
      </c>
      <c r="G169">
        <v>411650</v>
      </c>
      <c r="H169">
        <v>156.82</v>
      </c>
      <c r="I169" t="s">
        <v>153</v>
      </c>
      <c r="J169" t="s">
        <v>27</v>
      </c>
      <c r="K169" t="s">
        <v>164</v>
      </c>
      <c r="L169">
        <f t="shared" si="20"/>
        <v>31.680808080808077</v>
      </c>
      <c r="M169" t="s">
        <v>151</v>
      </c>
      <c r="N169">
        <f>G169-(((G$175/C$175*C169)+(G$176/C$176*C169)+(G$177/C$177*C169))/3)</f>
        <v>52842.431418266322</v>
      </c>
      <c r="O169">
        <f t="shared" si="22"/>
        <v>1667.9634964954619</v>
      </c>
    </row>
    <row r="170" spans="1:15" x14ac:dyDescent="0.25">
      <c r="A170">
        <v>4</v>
      </c>
      <c r="B170" t="s">
        <v>333</v>
      </c>
      <c r="C170">
        <v>1037</v>
      </c>
      <c r="D170">
        <v>336.68400000000003</v>
      </c>
      <c r="E170">
        <v>349141</v>
      </c>
      <c r="F170">
        <v>313</v>
      </c>
      <c r="G170">
        <v>349141</v>
      </c>
      <c r="H170">
        <v>128.779</v>
      </c>
      <c r="I170" t="s">
        <v>154</v>
      </c>
      <c r="J170" t="s">
        <v>27</v>
      </c>
      <c r="K170" t="s">
        <v>164</v>
      </c>
      <c r="L170">
        <f t="shared" si="20"/>
        <v>26.015959595959593</v>
      </c>
      <c r="M170" t="s">
        <v>151</v>
      </c>
      <c r="N170">
        <f t="shared" ref="N170:N174" si="25">G170-(((G$175/C$175*C170)+(G$176/C$176*C170)+(G$177/C$177*C170))/3)</f>
        <v>54771.183054384601</v>
      </c>
      <c r="O170">
        <f t="shared" si="22"/>
        <v>2105.2916711513817</v>
      </c>
    </row>
    <row r="171" spans="1:15" x14ac:dyDescent="0.25">
      <c r="A171">
        <v>5</v>
      </c>
      <c r="B171" t="s">
        <v>334</v>
      </c>
      <c r="C171">
        <v>974</v>
      </c>
      <c r="D171">
        <v>289.40699999999998</v>
      </c>
      <c r="E171">
        <v>281882</v>
      </c>
      <c r="F171">
        <v>287</v>
      </c>
      <c r="G171">
        <v>281882</v>
      </c>
      <c r="H171">
        <v>120.746</v>
      </c>
      <c r="I171" t="s">
        <v>155</v>
      </c>
      <c r="J171" t="s">
        <v>27</v>
      </c>
      <c r="K171" t="s">
        <v>164</v>
      </c>
      <c r="L171">
        <f t="shared" si="20"/>
        <v>24.39313131313131</v>
      </c>
      <c r="M171" t="s">
        <v>151</v>
      </c>
      <c r="N171">
        <f>G171-(((G$175/C$175*C171)+(G$176/C$176*C171)+(G$177/C$177*C171))/3)</f>
        <v>5395.7881340121385</v>
      </c>
      <c r="O171">
        <f t="shared" si="22"/>
        <v>221.20112685604565</v>
      </c>
    </row>
    <row r="172" spans="1:15" x14ac:dyDescent="0.25">
      <c r="A172">
        <v>6</v>
      </c>
      <c r="B172" t="s">
        <v>335</v>
      </c>
      <c r="C172">
        <v>877</v>
      </c>
      <c r="D172">
        <v>295.185</v>
      </c>
      <c r="E172">
        <v>258877</v>
      </c>
      <c r="F172">
        <v>290</v>
      </c>
      <c r="G172">
        <v>258877</v>
      </c>
      <c r="H172">
        <v>109.036</v>
      </c>
      <c r="I172" t="s">
        <v>156</v>
      </c>
      <c r="J172" t="s">
        <v>27</v>
      </c>
      <c r="K172" t="s">
        <v>164</v>
      </c>
      <c r="L172">
        <f t="shared" si="20"/>
        <v>22.027474747474749</v>
      </c>
      <c r="M172" t="s">
        <v>151</v>
      </c>
      <c r="N172">
        <f>G172-(((G$175/C$175*C172)+(G$176/C$176*C172)+(G$177/C$177*C172))/3)</f>
        <v>9925.8626216926787</v>
      </c>
      <c r="O172">
        <f t="shared" si="22"/>
        <v>450.61282491451226</v>
      </c>
    </row>
    <row r="173" spans="1:15" x14ac:dyDescent="0.25">
      <c r="A173">
        <v>7</v>
      </c>
      <c r="B173" t="s">
        <v>336</v>
      </c>
      <c r="C173">
        <v>1100</v>
      </c>
      <c r="D173">
        <v>321.06700000000001</v>
      </c>
      <c r="E173">
        <v>353174</v>
      </c>
      <c r="F173">
        <v>306</v>
      </c>
      <c r="G173">
        <v>353174</v>
      </c>
      <c r="H173">
        <v>136.26900000000001</v>
      </c>
      <c r="I173" t="s">
        <v>157</v>
      </c>
      <c r="J173" t="s">
        <v>27</v>
      </c>
      <c r="K173" t="s">
        <v>164</v>
      </c>
      <c r="L173">
        <f t="shared" si="20"/>
        <v>27.529090909090908</v>
      </c>
      <c r="M173" t="s">
        <v>151</v>
      </c>
      <c r="N173">
        <f t="shared" si="25"/>
        <v>40920.577974757063</v>
      </c>
      <c r="O173">
        <f t="shared" si="22"/>
        <v>1486.4485757952834</v>
      </c>
    </row>
    <row r="174" spans="1:15" x14ac:dyDescent="0.25">
      <c r="A174">
        <v>8</v>
      </c>
      <c r="B174" t="s">
        <v>337</v>
      </c>
      <c r="C174">
        <v>1085</v>
      </c>
      <c r="D174">
        <v>308.351</v>
      </c>
      <c r="E174">
        <v>334561</v>
      </c>
      <c r="F174">
        <v>296</v>
      </c>
      <c r="G174">
        <v>334561</v>
      </c>
      <c r="H174">
        <v>134.66900000000001</v>
      </c>
      <c r="I174" t="s">
        <v>158</v>
      </c>
      <c r="J174" t="s">
        <v>27</v>
      </c>
      <c r="K174" t="s">
        <v>164</v>
      </c>
      <c r="L174">
        <f t="shared" si="20"/>
        <v>27.205858585858586</v>
      </c>
      <c r="M174" t="s">
        <v>151</v>
      </c>
      <c r="N174">
        <f t="shared" si="25"/>
        <v>26565.579184192175</v>
      </c>
      <c r="O174">
        <f t="shared" si="22"/>
        <v>976.46538521672596</v>
      </c>
    </row>
    <row r="175" spans="1:15" x14ac:dyDescent="0.25">
      <c r="A175">
        <v>9</v>
      </c>
      <c r="B175" t="s">
        <v>338</v>
      </c>
      <c r="C175">
        <v>1026</v>
      </c>
      <c r="D175">
        <v>283.99700000000001</v>
      </c>
      <c r="E175">
        <v>291381</v>
      </c>
      <c r="F175">
        <v>284</v>
      </c>
      <c r="G175">
        <v>291381</v>
      </c>
      <c r="H175">
        <v>127.43</v>
      </c>
      <c r="I175" t="s">
        <v>124</v>
      </c>
      <c r="K175" t="s">
        <v>164</v>
      </c>
      <c r="L175">
        <f t="shared" si="20"/>
        <v>25.743434343434345</v>
      </c>
      <c r="M175" t="s">
        <v>151</v>
      </c>
      <c r="O175">
        <f t="shared" si="22"/>
        <v>0</v>
      </c>
    </row>
    <row r="176" spans="1:15" x14ac:dyDescent="0.25">
      <c r="A176">
        <v>10</v>
      </c>
      <c r="B176" t="s">
        <v>339</v>
      </c>
      <c r="C176">
        <v>1246</v>
      </c>
      <c r="D176">
        <v>283.834</v>
      </c>
      <c r="E176">
        <v>353657</v>
      </c>
      <c r="F176">
        <v>284</v>
      </c>
      <c r="G176">
        <v>353657</v>
      </c>
      <c r="H176">
        <v>154.87299999999999</v>
      </c>
      <c r="I176" t="s">
        <v>124</v>
      </c>
      <c r="K176" t="s">
        <v>164</v>
      </c>
      <c r="L176">
        <f t="shared" si="20"/>
        <v>31.287474747474743</v>
      </c>
      <c r="M176" t="s">
        <v>151</v>
      </c>
      <c r="O176">
        <f t="shared" si="22"/>
        <v>0</v>
      </c>
    </row>
    <row r="177" spans="1:15" x14ac:dyDescent="0.25">
      <c r="A177">
        <v>11</v>
      </c>
      <c r="B177" t="s">
        <v>340</v>
      </c>
      <c r="C177">
        <v>1153</v>
      </c>
      <c r="D177">
        <v>283.76900000000001</v>
      </c>
      <c r="E177">
        <v>327186</v>
      </c>
      <c r="F177">
        <v>284</v>
      </c>
      <c r="G177">
        <v>327186</v>
      </c>
      <c r="H177">
        <v>142.69</v>
      </c>
      <c r="I177" t="s">
        <v>124</v>
      </c>
      <c r="K177" t="s">
        <v>164</v>
      </c>
      <c r="L177">
        <f t="shared" si="20"/>
        <v>28.826262626262626</v>
      </c>
      <c r="M177" t="s">
        <v>151</v>
      </c>
      <c r="O177">
        <f t="shared" si="22"/>
        <v>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2023-06-14T14:33:48Z</dcterms:modified>
</cp:coreProperties>
</file>